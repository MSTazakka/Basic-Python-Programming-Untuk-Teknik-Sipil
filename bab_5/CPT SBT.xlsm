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026" codeName="{AE6600E7-7A62-396C-DE95-9942FA9DD81E}"/>
  <workbookPr codeName="ThisWorkbook" autoCompressPictures="0"/>
  <mc:AlternateContent xmlns:mc="http://schemas.openxmlformats.org/markup-compatibility/2006">
    <mc:Choice Requires="x15">
      <x15ac:absPath xmlns:x15ac="http://schemas.microsoft.com/office/spreadsheetml/2010/11/ac" url="H:\My Drive\11 PYTHON\02 PYTHON ENGINEERING\000 Numpy\CPT\"/>
    </mc:Choice>
  </mc:AlternateContent>
  <xr:revisionPtr revIDLastSave="0" documentId="13_ncr:1_{F68A7BDB-DDC2-480A-946B-8D9331EE1D77}" xr6:coauthVersionLast="47" xr6:coauthVersionMax="47" xr10:uidLastSave="{00000000-0000-0000-0000-000000000000}"/>
  <bookViews>
    <workbookView xWindow="-120" yWindow="-120" windowWidth="29040" windowHeight="15720" tabRatio="500" firstSheet="2" activeTab="2" xr2:uid="{00000000-000D-0000-FFFF-FFFF00000000}"/>
  </bookViews>
  <sheets>
    <sheet name="Nq" sheetId="5" state="hidden" r:id="rId1"/>
    <sheet name="manual" sheetId="4" state="hidden" r:id="rId2"/>
    <sheet name="start" sheetId="9" r:id="rId3"/>
    <sheet name="summary" sheetId="11" r:id="rId4"/>
    <sheet name="_xlwings.conf" sheetId="2" r:id="rId5"/>
  </sheets>
  <functionGroups builtInGroupCount="19"/>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5" l="1" a="1"/>
  <c r="H4" i="5" s="1"/>
  <c r="E4" i="5" a="1"/>
  <c r="E4" i="5" s="1"/>
  <c r="B4" i="5" a="1"/>
  <c r="B4"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<sst xmlns="http://schemas.openxmlformats.org/spreadsheetml/2006/main" count="259" uniqueCount="59">
  <si>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</si>
  <si>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</si>
  <si>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</si>
  <si>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</si>
  <si>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</si>
  <si>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</si>
  <si>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</si>
  <si>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</si>
  <si>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If you want to rely on the settings in the addin or an xlwings.conf file, you can delete this sheet.</t>
  </si>
  <si>
    <t>If you delete a row from here, it will fall back to the first non-empty value xlwings finds in an xlwings.conf file and otherwise use the default values.</t>
  </si>
  <si>
    <t>Show Console</t>
  </si>
  <si>
    <t>Rename this sheet to "xlwings.conf" to activate it (remove the leading underscore).  The settings have to start in cell A1.</t>
  </si>
  <si>
    <t>How to use</t>
  </si>
  <si>
    <t>Don’t change table headers and sheet name.</t>
  </si>
  <si>
    <t>v0.1</t>
  </si>
  <si>
    <t>version</t>
  </si>
  <si>
    <t>Change</t>
  </si>
  <si>
    <t>Created by</t>
  </si>
  <si>
    <t>Deka</t>
  </si>
  <si>
    <t>initial version</t>
  </si>
  <si>
    <t>Required python module.</t>
  </si>
  <si>
    <t>In Data tab, cell with yellow color is mandatory input. You need to manually input the cell with that yellow color</t>
  </si>
  <si>
    <t>xlwings, pandas, numpy, plotly</t>
  </si>
  <si>
    <t>you need anaconda installed on your PC and install required module</t>
  </si>
  <si>
    <t>in SPT tab, you can add as many as you want the SPT data. The rule are the far left SPT is your SPT with highest data points (not necessarily the deepest borehole) and the header name is "depth" and "desired SPT name" just follow the format.</t>
  </si>
  <si>
    <t>firstly input all your SPT in SPT tab. After than go to Data to input your soil profiles with soil parameter</t>
  </si>
  <si>
    <t>C:\ProgramData\Anaconda3</t>
  </si>
  <si>
    <t>base</t>
  </si>
  <si>
    <t>adhesion</t>
  </si>
  <si>
    <t>F</t>
  </si>
  <si>
    <t>yes</t>
  </si>
  <si>
    <t>no</t>
  </si>
  <si>
    <t>L/B = 5</t>
  </si>
  <si>
    <t>L/B = 20</t>
  </si>
  <si>
    <t>L/B = 70</t>
  </si>
  <si>
    <t>Depth (m)</t>
  </si>
  <si>
    <t>fs(kPa)</t>
  </si>
  <si>
    <t>Rf(%)</t>
  </si>
  <si>
    <t>qc (MPa)</t>
  </si>
  <si>
    <t>NON-NORMALIZED CPTU SBT</t>
  </si>
  <si>
    <t>X</t>
  </si>
  <si>
    <t>Y</t>
  </si>
  <si>
    <t>Z</t>
  </si>
  <si>
    <t>m</t>
  </si>
  <si>
    <t>m+ref</t>
  </si>
  <si>
    <t>value</t>
  </si>
  <si>
    <t>units</t>
  </si>
  <si>
    <t>properties</t>
  </si>
  <si>
    <t>Nama</t>
  </si>
  <si>
    <t>CPT-01</t>
  </si>
  <si>
    <t>-</t>
  </si>
  <si>
    <t>Tanggal</t>
  </si>
  <si>
    <t>jenis_tanah</t>
  </si>
  <si>
    <t>I_SBT</t>
  </si>
  <si>
    <t>zone_SBT</t>
  </si>
  <si>
    <t>Sand: Clean Sands To Silty Sands</t>
  </si>
  <si>
    <t>Sand Mixtures: Silty Sand To Sandy Silt</t>
  </si>
  <si>
    <t>Silt Mixtures: Clayey Silt &amp; Silty Clay</t>
  </si>
  <si>
    <t>Clays: Clay To Silty Clay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</si>
</sst>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6" x14ac:knownFonts="1">
    <font>
      <sz val="12"/>
      <color theme="1"/>
      <name val="Calibri"/>
      <family val="2"/>
      <scheme val="minor"/>
    </font>
    <font>
      <sz val="9"/>
      <color theme="1"/>
      <name val="Segoe UI"/>
      <family val="2"/>
    </font>
    <font>
      <sz val="9"/>
      <color theme="1"/>
      <name val="Segoe UI"/>
      <family val="2"/>
    </font>
    <font>
      <sz val="10"/>
      <color theme="1"/>
      <name val="Arial"/>
      <family val="2"/>
    </font>
    <font>
      <b/>
      <sz val="12"/>
      <color theme="1"/>
      <name val="Calibri"/>
      <family val="2"/>
      <scheme val="minor"/>
    </font>
    <font>
      <sz val="12"/>
      <color theme="1"/>
      <name val="Calibri"/>
      <family val="2"/>
      <scheme val="minor"/>
    </font>
    <font>
      <sz val="9"/>
      <color rgb="FF3F3F76"/>
      <name val="Segoe UI"/>
      <family val="2"/>
    </font>
    <font>
      <b/>
      <sz val="11"/>
      <color theme="3"/>
      <name val="Segoe UI"/>
      <family val="2"/>
    </font>
    <font>
      <sz val="18"/>
      <color theme="3"/>
      <name val="Cambria"/>
      <family val="2"/>
      <scheme val="major"/>
    </font>
    <font>
      <b/>
      <sz val="15"/>
      <color theme="3"/>
      <name val="Segoe UI"/>
      <family val="2"/>
    </font>
    <font>
      <b/>
      <sz val="13"/>
      <color theme="3"/>
      <name val="Segoe UI"/>
      <family val="2"/>
    </font>
    <font>
      <sz val="9"/>
      <color rgb="FF006100"/>
      <name val="Segoe UI"/>
      <family val="2"/>
    </font>
    <font>
      <sz val="9"/>
      <color rgb="FF9C0006"/>
      <name val="Segoe UI"/>
      <family val="2"/>
    </font>
    <font>
      <sz val="9"/>
      <color rgb="FF9C5700"/>
      <name val="Segoe UI"/>
      <family val="2"/>
    </font>
    <font>
      <b/>
      <sz val="9"/>
      <color rgb="FF3F3F3F"/>
      <name val="Segoe UI"/>
      <family val="2"/>
    </font>
    <font>
      <b/>
      <sz val="9"/>
      <color rgb="FFFA7D00"/>
      <name val="Segoe UI"/>
      <family val="2"/>
    </font>
    <font>
      <sz val="9"/>
      <color rgb="FFFA7D00"/>
      <name val="Segoe UI"/>
      <family val="2"/>
    </font>
    <font>
      <b/>
      <sz val="9"/>
      <color theme="0"/>
      <name val="Segoe UI"/>
      <family val="2"/>
    </font>
    <font>
      <sz val="9"/>
      <color rgb="FFFF0000"/>
      <name val="Segoe UI"/>
      <family val="2"/>
    </font>
    <font>
      <i/>
      <sz val="9"/>
      <color rgb="FF7F7F7F"/>
      <name val="Segoe UI"/>
      <family val="2"/>
    </font>
    <font>
      <b/>
      <sz val="9"/>
      <color theme="1"/>
      <name val="Segoe UI"/>
      <family val="2"/>
    </font>
    <font>
      <sz val="9"/>
      <color theme="0"/>
      <name val="Segoe UI"/>
      <family val="2"/>
    </font>
    <font>
      <sz val="11"/>
      <color theme="1"/>
      <name val="Calibri"/>
      <family val="2"/>
      <scheme val="minor"/>
    </font>
    <font>
      <sz val="10"/>
      <name val="Arial"/>
      <family val="2"/>
    </font>
    <font>
      <b/>
      <sz val="11"/>
      <color rgb="FF3F3F3F"/>
      <name val="Calibri"/>
      <family val="2"/>
      <scheme val="minor"/>
    </font>
    <font>
      <sz val="12"/>
      <color rgb="FF000000"/>
      <name val="Calibri"/>
      <family val="2"/>
    </font>
  </fonts>
  <fills count="33">
    <fill>
      <patternFill patternType="none"/>
    </fill>
    <fill>
      <patternFill patternType="gray125"/>
    </fill>
    <fill>
      <patternFill patternType="solid">
        <fgColor rgb="FFFFCC99"/>
      </patternFill>
    </fill>
    <fill>
      <patternFill patternType="solid">
        <fgColor rgb="FFFFFFCC"/>
      </patternFill>
    </fill>
    <fill>
      <patternFill patternType="solid">
        <fgColor rgb="FFFFEB9C"/>
      </patternFill>
    </fill>
    <fill>
      <patternFill patternType="solid">
        <fgColor rgb="FFC6EFCE"/>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58">
    <xf numFmtId="0" fontId="0" fillId="0" borderId="0"/>
    <xf numFmtId="0" fontId="6" fillId="2" borderId="1" applyNumberFormat="0" applyAlignment="0" applyProtection="0"/>
    <xf numFmtId="9" fontId="3" fillId="0" borderId="0" applyFont="0" applyFill="0" applyBorder="0" applyAlignment="0" applyProtection="0"/>
    <xf numFmtId="44" fontId="3" fillId="0" borderId="0" applyFont="0" applyFill="0" applyBorder="0" applyAlignment="0" applyProtection="0"/>
    <xf numFmtId="42" fontId="3" fillId="0" borderId="0" applyFont="0" applyFill="0" applyBorder="0" applyAlignment="0" applyProtection="0"/>
    <xf numFmtId="43" fontId="3" fillId="0" borderId="0" applyFont="0" applyFill="0" applyBorder="0" applyAlignment="0" applyProtection="0"/>
    <xf numFmtId="41" fontId="3" fillId="0" borderId="0" applyFont="0" applyFill="0" applyBorder="0" applyAlignment="0" applyProtection="0"/>
    <xf numFmtId="0" fontId="5" fillId="3" borderId="2" applyNumberFormat="0" applyFont="0" applyAlignment="0" applyProtection="0"/>
    <xf numFmtId="0" fontId="2" fillId="0" borderId="0"/>
    <xf numFmtId="0" fontId="7" fillId="0" borderId="0" applyNumberFormat="0" applyFill="0" applyBorder="0" applyAlignment="0" applyProtection="0"/>
    <xf numFmtId="0" fontId="8" fillId="0" borderId="0" applyNumberFormat="0" applyFill="0" applyBorder="0" applyAlignment="0" applyProtection="0"/>
    <xf numFmtId="0" fontId="9" fillId="0" borderId="4" applyNumberFormat="0" applyFill="0" applyAlignment="0" applyProtection="0"/>
    <xf numFmtId="0" fontId="10" fillId="0" borderId="5" applyNumberFormat="0" applyFill="0" applyAlignment="0" applyProtection="0"/>
    <xf numFmtId="0" fontId="7" fillId="0" borderId="6" applyNumberFormat="0" applyFill="0" applyAlignment="0" applyProtection="0"/>
    <xf numFmtId="0" fontId="11" fillId="5" borderId="0" applyNumberFormat="0" applyBorder="0" applyAlignment="0" applyProtection="0"/>
    <xf numFmtId="0" fontId="12" fillId="6" borderId="0" applyNumberFormat="0" applyBorder="0" applyAlignment="0" applyProtection="0"/>
    <xf numFmtId="0" fontId="13" fillId="4" borderId="0" applyNumberFormat="0" applyBorder="0" applyAlignment="0" applyProtection="0"/>
    <xf numFmtId="0" fontId="14" fillId="7" borderId="7" applyNumberFormat="0" applyAlignment="0" applyProtection="0"/>
    <xf numFmtId="0" fontId="15" fillId="7" borderId="1" applyNumberFormat="0" applyAlignment="0" applyProtection="0"/>
    <xf numFmtId="0" fontId="16" fillId="0" borderId="8" applyNumberFormat="0" applyFill="0" applyAlignment="0" applyProtection="0"/>
    <xf numFmtId="0" fontId="17" fillId="8" borderId="3" applyNumberFormat="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0" borderId="0"/>
    <xf numFmtId="0" fontId="23" fillId="0" borderId="0"/>
    <xf numFmtId="0" fontId="22" fillId="0" borderId="0"/>
    <xf numFmtId="0" fontId="22" fillId="0" borderId="0"/>
    <xf numFmtId="0" fontId="22" fillId="3" borderId="2" applyNumberFormat="0" applyFont="0" applyAlignment="0" applyProtection="0"/>
    <xf numFmtId="0" fontId="1" fillId="3" borderId="2" applyNumberFormat="0" applyFont="0" applyAlignment="0" applyProtection="0"/>
    <xf numFmtId="0" fontId="24" fillId="7" borderId="7" applyNumberFormat="0" applyAlignment="0" applyProtection="0"/>
    <xf numFmtId="0" fontId="23" fillId="0" borderId="0"/>
    <xf numFmtId="0" fontId="23" fillId="0" borderId="0"/>
    <xf numFmtId="0" fontId="23" fillId="3" borderId="2" applyNumberFormat="0" applyFont="0" applyAlignment="0" applyProtection="0"/>
  </cellStyleXfs>
  <cellXfs count="12">
    <xf numFmtId="0" fontId="0" fillId="0" borderId="0" xfId="0"/>
    <xf numFmtId="0" fontId="0" fillId="0" borderId="0" xfId="0" applyAlignment="1">
      <alignment vertical="center"/>
    </xf>
    <xf numFmtId="0" fontId="4" fillId="0" borderId="0" xfId="0" applyFont="1" applyAlignment="1">
      <alignment vertical="center"/>
    </xf>
    <xf numFmtId="0" fontId="0" fillId="0" borderId="0" xfId="0" applyAlignment="1">
      <alignment horizontal="left"/>
    </xf>
    <xf numFmtId="0" fontId="0" fillId="3" borderId="2" xfId="7" applyFont="1"/>
    <xf numFmtId="0" fontId="1" fillId="0" borderId="0" xfId="48"/>
    <xf numFmtId="0" fontId="0" fillId="0" borderId="10" xfId="0" applyBorder="1" applyAlignment="1">
      <alignment horizontal="left"/>
    </xf>
    <xf numFmtId="0" fontId="4" fillId="0" borderId="0" xfId="0" applyFont="1"/>
    <xf numFmtId="0" fontId="4" fillId="0" borderId="10" xfId="0" applyFont="1" applyBorder="1" applyAlignment="1">
      <alignment horizontal="left"/>
    </xf>
    <xf numFmtId="15" fontId="0" fillId="0" borderId="10" xfId="0" applyNumberFormat="1" applyBorder="1" applyAlignment="1">
      <alignment horizontal="left"/>
    </xf>
    <xf numFmtId="0" fontId="0" fillId="0" borderId="10" xfId="0" applyBorder="1"/>
    <xf numFmtId="0" fontId="20" fillId="28" borderId="10" xfId="43" applyFont="1" applyBorder="1"/>
  </cellXfs>
  <cellStyles count="58">
    <cellStyle name="20% - Accent1" xfId="25" builtinId="30" customBuiltin="1"/>
    <cellStyle name="20% - Accent2" xfId="29" builtinId="34" customBuiltin="1"/>
    <cellStyle name="20% - Accent3" xfId="33" builtinId="38" customBuiltin="1"/>
    <cellStyle name="20% - Accent4" xfId="37" builtinId="42" customBuiltin="1"/>
    <cellStyle name="20% - Accent5" xfId="41" builtinId="46" customBuiltin="1"/>
    <cellStyle name="20% - Accent6" xfId="45" builtinId="50" customBuiltin="1"/>
    <cellStyle name="40% - Accent1" xfId="26" builtinId="31" customBuiltin="1"/>
    <cellStyle name="40% - Accent2" xfId="30" builtinId="35" customBuiltin="1"/>
    <cellStyle name="40% - Accent3" xfId="34" builtinId="39" customBuiltin="1"/>
    <cellStyle name="40% - Accent4" xfId="38" builtinId="43" customBuiltin="1"/>
    <cellStyle name="40% - Accent5" xfId="42" builtinId="47" customBuiltin="1"/>
    <cellStyle name="40% - Accent6" xfId="46" builtinId="51" customBuiltin="1"/>
    <cellStyle name="60% - Accent1" xfId="27" builtinId="32" customBuiltin="1"/>
    <cellStyle name="60% - Accent2" xfId="31" builtinId="36" customBuiltin="1"/>
    <cellStyle name="60% - Accent3" xfId="35" builtinId="40" customBuiltin="1"/>
    <cellStyle name="60% - Accent4" xfId="39" builtinId="44" customBuiltin="1"/>
    <cellStyle name="60% - Accent5" xfId="43" builtinId="48" customBuiltin="1"/>
    <cellStyle name="60% - Accent6" xfId="47" builtinId="52" customBuiltin="1"/>
    <cellStyle name="Accent1" xfId="24" builtinId="29" customBuiltin="1"/>
    <cellStyle name="Accent2" xfId="28" builtinId="33" customBuiltin="1"/>
    <cellStyle name="Accent3" xfId="32" builtinId="37" customBuiltin="1"/>
    <cellStyle name="Accent4" xfId="36" builtinId="41" customBuiltin="1"/>
    <cellStyle name="Accent5" xfId="40" builtinId="45" customBuiltin="1"/>
    <cellStyle name="Accent6" xfId="44" builtinId="49" customBuiltin="1"/>
    <cellStyle name="Bad" xfId="15" builtinId="27" customBuiltin="1"/>
    <cellStyle name="Calculation" xfId="18" builtinId="22" customBuiltin="1"/>
    <cellStyle name="Check Cell" xfId="20" builtinId="23" customBuiltin="1"/>
    <cellStyle name="Comma" xfId="5" xr:uid="{00000000-0005-0000-0000-000004000000}"/>
    <cellStyle name="Comma [0]" xfId="6" xr:uid="{00000000-0005-0000-0000-000005000000}"/>
    <cellStyle name="Currency" xfId="3" xr:uid="{00000000-0005-0000-0000-000002000000}"/>
    <cellStyle name="Currency [0]" xfId="4" xr:uid="{00000000-0005-0000-0000-000003000000}"/>
    <cellStyle name="Explanatory Text" xfId="22" builtinId="53" customBuiltin="1"/>
    <cellStyle name="Good" xfId="14" builtinId="26" customBuiltin="1"/>
    <cellStyle name="Heading 1" xfId="11" builtinId="16" customBuiltin="1"/>
    <cellStyle name="Heading 2" xfId="12" builtinId="17" customBuiltin="1"/>
    <cellStyle name="Heading 3" xfId="13" builtinId="18" customBuiltin="1"/>
    <cellStyle name="Heading 4" xfId="9" builtinId="19" customBuiltin="1"/>
    <cellStyle name="Input" xfId="1" builtinId="20" customBuiltin="1"/>
    <cellStyle name="Linked Cell" xfId="19" builtinId="24" customBuiltin="1"/>
    <cellStyle name="Neutral" xfId="16" builtinId="28" customBuiltin="1"/>
    <cellStyle name="Normal" xfId="0" builtinId="0"/>
    <cellStyle name="Normal 2" xfId="8" xr:uid="{02C4C129-1557-440F-A86D-745AD02C3654}"/>
    <cellStyle name="Normal 2 2" xfId="51" xr:uid="{3FB50847-C95E-44C1-9A1D-5D1A5F7702E6}"/>
    <cellStyle name="Normal 3" xfId="48" xr:uid="{C7FB7FFD-C963-4602-90AA-1F1AA1015833}"/>
    <cellStyle name="Normal 3 2" xfId="49" xr:uid="{3399A3A3-6FF2-4D79-8E07-9AEA4EA97577}"/>
    <cellStyle name="Normal 4" xfId="50" xr:uid="{8FA81FBE-F226-4137-ADF5-B3EE08C8B143}"/>
    <cellStyle name="Note" xfId="7" builtinId="10"/>
    <cellStyle name="Note 2" xfId="53" xr:uid="{74F6D20E-AE10-486E-AA57-D689385D1AA5}"/>
    <cellStyle name="Note 2 2" xfId="57" xr:uid="{8CF24ADC-7CBE-4587-ACC6-C6BA3F8AFAFC}"/>
    <cellStyle name="Note 3" xfId="52" xr:uid="{E865D8D1-F12B-441F-97FA-03C8AACC1CC2}"/>
    <cellStyle name="Output" xfId="17" builtinId="21" customBuiltin="1"/>
    <cellStyle name="Output 2" xfId="54" xr:uid="{402B060A-57A8-451C-A8D8-9D2F8E0C830D}"/>
    <cellStyle name="Percent" xfId="2" xr:uid="{00000000-0005-0000-0000-000001000000}"/>
    <cellStyle name="Standaard 2" xfId="55" xr:uid="{C685BE4D-25AB-46B9-80CB-F7F385DBEB01}"/>
    <cellStyle name="Standaard 3" xfId="56" xr:uid="{03A576F5-EC62-43CD-95AA-18C86352BAC5}"/>
    <cellStyle name="Title" xfId="10" builtinId="15" customBuiltin="1"/>
    <cellStyle name="Total" xfId="23" builtinId="25" customBuiltin="1"/>
    <cellStyle name="Warning Text" xfId="21" builtinId="11" customBuiltin="1"/>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Nq!$A$5</c:f>
              <c:strCache>
                <c:ptCount val="1"/>
                <c:pt idx="0">
                  <c:v>L/B = 70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exp"/>
            <c:dispRSqr val="0"/>
            <c:dispEq val="1"/>
            <c:trendlineLbl>
              <c:layout>
                <c:manualLayout>
                  <c:x val="0.1622508096810473"/>
                  <c:y val="0.3859644619513620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Nq!$A$6:$A$20</c:f>
              <c:numCache>
                <c:formatCode>General</c:formatCode>
                <c:ptCount val="15"/>
                <c:pt idx="0">
                  <c:v>25.087641772545901</c:v>
                </c:pt>
                <c:pt idx="1">
                  <c:v>26.0949901270147</c:v>
                </c:pt>
                <c:pt idx="2">
                  <c:v>27.487197853997401</c:v>
                </c:pt>
                <c:pt idx="3">
                  <c:v>29.056724847226199</c:v>
                </c:pt>
                <c:pt idx="4">
                  <c:v>30.714550297244202</c:v>
                </c:pt>
                <c:pt idx="5">
                  <c:v>32.608626319792201</c:v>
                </c:pt>
                <c:pt idx="6">
                  <c:v>34.1472101203316</c:v>
                </c:pt>
                <c:pt idx="7">
                  <c:v>35.921387809157501</c:v>
                </c:pt>
                <c:pt idx="8">
                  <c:v>36.7188319940825</c:v>
                </c:pt>
                <c:pt idx="9">
                  <c:v>37.663768615777798</c:v>
                </c:pt>
                <c:pt idx="10">
                  <c:v>38.578353060602602</c:v>
                </c:pt>
                <c:pt idx="11">
                  <c:v>39.404639048638302</c:v>
                </c:pt>
                <c:pt idx="12">
                  <c:v>40.376578757563003</c:v>
                </c:pt>
              </c:numCache>
            </c:numRef>
          </c:xVal>
          <c:yVal>
            <c:numRef>
              <c:f>Nq!$B$6:$B$20</c:f>
              <c:numCache>
                <c:formatCode>General</c:formatCode>
                <c:ptCount val="15"/>
                <c:pt idx="0">
                  <c:v>5.17255717198673</c:v>
                </c:pt>
                <c:pt idx="1">
                  <c:v>5.4384153137614701</c:v>
                </c:pt>
                <c:pt idx="2">
                  <c:v>7.1710920993669598</c:v>
                </c:pt>
                <c:pt idx="3">
                  <c:v>10.968001870449999</c:v>
                </c:pt>
                <c:pt idx="4">
                  <c:v>17.423055072225399</c:v>
                </c:pt>
                <c:pt idx="5">
                  <c:v>27.4187956184862</c:v>
                </c:pt>
                <c:pt idx="6">
                  <c:v>37.1294065926051</c:v>
                </c:pt>
                <c:pt idx="7">
                  <c:v>53.337117525674401</c:v>
                </c:pt>
                <c:pt idx="8">
                  <c:v>64.843475421169899</c:v>
                </c:pt>
                <c:pt idx="9">
                  <c:v>79.301866060588296</c:v>
                </c:pt>
                <c:pt idx="10">
                  <c:v>97.013186550019796</c:v>
                </c:pt>
                <c:pt idx="11">
                  <c:v>112.066363608763</c:v>
                </c:pt>
                <c:pt idx="12">
                  <c:v>138.349528731931</c:v>
                </c:pt>
              </c:numCache>
            </c:numRef>
          </c:yVal>
          <c:smooth val="1"/>
          <c:extLst>
            <c:ext xmlns:c16="http://schemas.microsoft.com/office/drawing/2014/chart" uri="{C3380CC4-5D6E-409C-BE32-E72D297353CC}">
              <c16:uniqueId val="{00000000-1175-45DE-B741-F7643270B87D}"/>
            </c:ext>
          </c:extLst>
        </c:ser>
        <c:ser>
          <c:idx val="1"/>
          <c:order val="1"/>
          <c:tx>
            <c:strRef>
              <c:f>Nq!$D$5</c:f>
              <c:strCache>
                <c:ptCount val="1"/>
                <c:pt idx="0">
                  <c:v>L/B = 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exp"/>
            <c:dispRSqr val="0"/>
            <c:dispEq val="0"/>
          </c:trendline>
          <c:xVal>
            <c:numRef>
              <c:f>Nq!$D$6:$D$20</c:f>
              <c:numCache>
                <c:formatCode>General</c:formatCode>
                <c:ptCount val="15"/>
                <c:pt idx="0">
                  <c:v>25.027331429351101</c:v>
                </c:pt>
                <c:pt idx="1">
                  <c:v>26.3605421816256</c:v>
                </c:pt>
                <c:pt idx="2">
                  <c:v>27.574970963391898</c:v>
                </c:pt>
                <c:pt idx="3">
                  <c:v>28.9074593629988</c:v>
                </c:pt>
                <c:pt idx="4">
                  <c:v>30.180294103654301</c:v>
                </c:pt>
                <c:pt idx="5">
                  <c:v>31.867092693631701</c:v>
                </c:pt>
                <c:pt idx="6">
                  <c:v>33.168703568973498</c:v>
                </c:pt>
                <c:pt idx="7">
                  <c:v>34.943537942042802</c:v>
                </c:pt>
                <c:pt idx="8">
                  <c:v>36.184904142614201</c:v>
                </c:pt>
                <c:pt idx="9">
                  <c:v>37.099816929560703</c:v>
                </c:pt>
                <c:pt idx="10">
                  <c:v>38.044359540709998</c:v>
                </c:pt>
                <c:pt idx="11">
                  <c:v>38.899553000280697</c:v>
                </c:pt>
                <c:pt idx="12">
                  <c:v>39.5476003641296</c:v>
                </c:pt>
                <c:pt idx="13">
                  <c:v>40.342811822627198</c:v>
                </c:pt>
              </c:numCache>
            </c:numRef>
          </c:xVal>
          <c:yVal>
            <c:numRef>
              <c:f>Nq!$E$6:$E$20</c:f>
              <c:numCache>
                <c:formatCode>General</c:formatCode>
                <c:ptCount val="15"/>
                <c:pt idx="0">
                  <c:v>9.9045693033510105</c:v>
                </c:pt>
                <c:pt idx="1">
                  <c:v>10.456432991382201</c:v>
                </c:pt>
                <c:pt idx="2">
                  <c:v>12.194365621631301</c:v>
                </c:pt>
                <c:pt idx="3">
                  <c:v>15.998283185574</c:v>
                </c:pt>
                <c:pt idx="4">
                  <c:v>21.577800266415899</c:v>
                </c:pt>
                <c:pt idx="5">
                  <c:v>30.9883901085419</c:v>
                </c:pt>
                <c:pt idx="6">
                  <c:v>40.410367614078197</c:v>
                </c:pt>
                <c:pt idx="7">
                  <c:v>53.661665932686802</c:v>
                </c:pt>
                <c:pt idx="8">
                  <c:v>67.520014308127998</c:v>
                </c:pt>
                <c:pt idx="9">
                  <c:v>83.753128490335598</c:v>
                </c:pt>
                <c:pt idx="10">
                  <c:v>99.985366698432998</c:v>
                </c:pt>
                <c:pt idx="11">
                  <c:v>118.28972165897299</c:v>
                </c:pt>
                <c:pt idx="12">
                  <c:v>135.41764339248999</c:v>
                </c:pt>
                <c:pt idx="13">
                  <c:v>156.97580417715801</c:v>
                </c:pt>
              </c:numCache>
            </c:numRef>
          </c:yVal>
          <c:smooth val="1"/>
          <c:extLst>
            <c:ext xmlns:c16="http://schemas.microsoft.com/office/drawing/2014/chart" uri="{C3380CC4-5D6E-409C-BE32-E72D297353CC}">
              <c16:uniqueId val="{00000001-1175-45DE-B741-F7643270B87D}"/>
            </c:ext>
          </c:extLst>
        </c:ser>
        <c:ser>
          <c:idx val="2"/>
          <c:order val="2"/>
          <c:tx>
            <c:strRef>
              <c:f>Nq!$G$5</c:f>
              <c:strCache>
                <c:ptCount val="1"/>
                <c:pt idx="0">
                  <c:v>L/B = 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exp"/>
            <c:dispRSqr val="0"/>
            <c:dispEq val="0"/>
          </c:trendline>
          <c:xVal>
            <c:numRef>
              <c:f>Nq!$G$6:$G$20</c:f>
              <c:numCache>
                <c:formatCode>General</c:formatCode>
                <c:ptCount val="15"/>
                <c:pt idx="0">
                  <c:v>25.026412071410402</c:v>
                </c:pt>
                <c:pt idx="1">
                  <c:v>26.151951380568502</c:v>
                </c:pt>
                <c:pt idx="2">
                  <c:v>27.543765097005199</c:v>
                </c:pt>
                <c:pt idx="3">
                  <c:v>28.9056863155418</c:v>
                </c:pt>
                <c:pt idx="4">
                  <c:v>30.060001759386299</c:v>
                </c:pt>
                <c:pt idx="5">
                  <c:v>31.302878333717299</c:v>
                </c:pt>
                <c:pt idx="6">
                  <c:v>32.6339876964132</c:v>
                </c:pt>
                <c:pt idx="7">
                  <c:v>33.876010581227902</c:v>
                </c:pt>
                <c:pt idx="8">
                  <c:v>34.910690365047699</c:v>
                </c:pt>
                <c:pt idx="9">
                  <c:v>35.826588178359302</c:v>
                </c:pt>
                <c:pt idx="10">
                  <c:v>36.919214242097901</c:v>
                </c:pt>
                <c:pt idx="11">
                  <c:v>37.567589948068502</c:v>
                </c:pt>
                <c:pt idx="12">
                  <c:v>38.4225864023662</c:v>
                </c:pt>
                <c:pt idx="13">
                  <c:v>39.217797860863797</c:v>
                </c:pt>
                <c:pt idx="14">
                  <c:v>40.3361136433452</c:v>
                </c:pt>
              </c:numCache>
            </c:numRef>
          </c:xVal>
          <c:yVal>
            <c:numRef>
              <c:f>Nq!$H$6:$H$20</c:f>
              <c:numCache>
                <c:formatCode>General</c:formatCode>
                <c:ptCount val="15"/>
                <c:pt idx="0">
                  <c:v>14.0435469635977</c:v>
                </c:pt>
                <c:pt idx="1">
                  <c:v>15.784107516173</c:v>
                </c:pt>
                <c:pt idx="2">
                  <c:v>19.290631870457499</c:v>
                </c:pt>
                <c:pt idx="3">
                  <c:v>23.9805972446295</c:v>
                </c:pt>
                <c:pt idx="4">
                  <c:v>29.563618221899102</c:v>
                </c:pt>
                <c:pt idx="5">
                  <c:v>36.622217584075102</c:v>
                </c:pt>
                <c:pt idx="6">
                  <c:v>46.634601638394301</c:v>
                </c:pt>
                <c:pt idx="7">
                  <c:v>57.536537399374701</c:v>
                </c:pt>
                <c:pt idx="8">
                  <c:v>68.148963717662497</c:v>
                </c:pt>
                <c:pt idx="9">
                  <c:v>79.947458978172605</c:v>
                </c:pt>
                <c:pt idx="10">
                  <c:v>96.470958577178706</c:v>
                </c:pt>
                <c:pt idx="11">
                  <c:v>112.120674003459</c:v>
                </c:pt>
                <c:pt idx="12">
                  <c:v>131.311952748343</c:v>
                </c:pt>
                <c:pt idx="13">
                  <c:v>152.870113533015</c:v>
                </c:pt>
                <c:pt idx="14">
                  <c:v>187.13121284469301</c:v>
                </c:pt>
              </c:numCache>
            </c:numRef>
          </c:yVal>
          <c:smooth val="1"/>
          <c:extLst>
            <c:ext xmlns:c16="http://schemas.microsoft.com/office/drawing/2014/chart" uri="{C3380CC4-5D6E-409C-BE32-E72D297353CC}">
              <c16:uniqueId val="{00000002-1175-45DE-B741-F7643270B87D}"/>
            </c:ext>
          </c:extLst>
        </c:ser>
        <c:dLbls>
          <c:showLegendKey val="0"/>
          <c:showVal val="0"/>
          <c:showCatName val="0"/>
          <c:showSerName val="0"/>
          <c:showPercent val="0"/>
          <c:showBubbleSize val="0"/>
        </c:dLbls>
        <c:axId val="849719072"/>
        <c:axId val="849720056"/>
      </c:scatterChart>
      <c:valAx>
        <c:axId val="849719072"/>
        <c:scaling>
          <c:orientation val="minMax"/>
          <c:min val="2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720056"/>
        <c:crosses val="autoZero"/>
        <c:crossBetween val="midCat"/>
      </c:valAx>
      <c:valAx>
        <c:axId val="849720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71907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11</xdr:col>
      <xdr:colOff>252412</xdr:colOff>
      <xdr:row>5</xdr:row>
      <xdr:rowOff>28575</xdr:rowOff>
    </xdr:from>
    <xdr:to>
      <xdr:col>18</xdr:col>
      <xdr:colOff>23812</xdr:colOff>
      <xdr:row>18</xdr:row>
      <xdr:rowOff>171450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190500</xdr:colOff>
      <xdr:row>14</xdr:row>
      <xdr:rowOff>50182</xdr:rowOff>
    </xdr:from>
    <xdr:to>
      <xdr:col>12</xdr:col>
      <xdr:colOff>371475</xdr:colOff>
      <xdr:row>29</xdr:row>
      <xdr:rowOff>83981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5038725" y="2650507"/>
          <a:ext cx="5667375" cy="3034174"/>
        </a:xfrm>
        <a:prstGeom prst="rect">
          <a:avLst/>
        </a:prstGeom>
      </xdr:spPr>
    </xdr:pic>
    <xdr:clientData/>
  </xdr:twoCellAnchor>
  <xdr:twoCellAnchor editAs="oneCell">
    <xdr:from>
      <xdr:col>9</xdr:col>
      <xdr:colOff>409575</xdr:colOff>
      <xdr:row>14</xdr:row>
      <xdr:rowOff>114736</xdr:rowOff>
    </xdr:from>
    <xdr:to>
      <xdr:col>15</xdr:col>
      <xdr:colOff>277503</xdr:colOff>
      <xdr:row>29</xdr:row>
      <xdr:rowOff>48566</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8686800" y="2715061"/>
          <a:ext cx="3982728" cy="2934205"/>
        </a:xfrm>
        <a:prstGeom prst="rect">
          <a:avLst/>
        </a:prstGeom>
      </xdr:spPr>
    </xdr:pic>
    <xdr:clientData/>
  </xdr:twoCellAnchor>
  <xdr:oneCellAnchor>
    <xdr:from>
      <xdr:col>6</xdr:col>
      <xdr:colOff>231321</xdr:colOff>
      <xdr:row>40</xdr:row>
      <xdr:rowOff>136072</xdr:rowOff>
    </xdr:from>
    <xdr:ext cx="1838582" cy="314369"/>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10013496" y="1336222"/>
          <a:ext cx="1838582" cy="314369"/>
        </a:xfrm>
        <a:prstGeom prst="rect">
          <a:avLst/>
        </a:prstGeom>
      </xdr:spPr>
    </xdr:pic>
    <xdr:clientData/>
  </xdr:oneCellAnchor>
  <xdr:oneCellAnchor>
    <xdr:from>
      <xdr:col>6</xdr:col>
      <xdr:colOff>27213</xdr:colOff>
      <xdr:row>36</xdr:row>
      <xdr:rowOff>149680</xdr:rowOff>
    </xdr:from>
    <xdr:ext cx="3848637" cy="257211"/>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9809388" y="549730"/>
          <a:ext cx="3848637" cy="257211"/>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638175</xdr:colOff>
          <xdr:row>3</xdr:row>
          <xdr:rowOff>95250</xdr:rowOff>
        </xdr:from>
        <xdr:to>
          <xdr:col>9</xdr:col>
          <xdr:colOff>447675</xdr:colOff>
          <xdr:row>6</xdr:row>
          <xdr:rowOff>57150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PLOT</a:t>
              </a:r>
            </a:p>
          </xdr:txBody>
        </xdr:sp>
        <xdr:clientData fPrintsWithSheet="0"/>
      </xdr:twoCellAnchor>
    </mc:Choice>
    <mc:Fallback/>
  </mc:AlternateContent>
  <xdr:twoCellAnchor editAs="oneCell">
    <xdr:from>
      <xdr:col>6</xdr:col>
      <xdr:colOff>0</xdr:colOff>
      <xdr:row>10</xdr:row>
      <xdr:rowOff>0</xdr:rowOff>
    </xdr:from>
    <xdr:to>
      <xdr:col>24</xdr:col>
      <xdr:colOff>38100</xdr:colOff>
      <xdr:row>48</xdr:row>
      <xdr:rowOff>19050</xdr:rowOff>
    </xdr:to>
    <xdr:pic>
      <xdr:nvPicPr>
        <xdr:cNvPr id="3" name="plot sondir">
          <a:extLst>
            <a:ext uri="{FF2B5EF4-FFF2-40B4-BE49-F238E27FC236}">
              <a16:creationId xmlns:a16="http://schemas.microsoft.com/office/drawing/2014/main" id="{DD913CA3-2BBC-0693-D858-C9595633E1AB}"/>
            </a:ext>
          </a:extLst>
        </xdr:cNvPr>
        <xdr:cNvPicPr>
          <a:picLocks noChangeAspect="1"/>
        </xdr:cNvPicPr>
      </xdr:nvPicPr>
      <xdr:blipFill>
        <a:blip xmlns:r="http://schemas.openxmlformats.org/officeDocument/2006/relationships" r:embed="rId1"/>
        <a:stretch>
          <a:fillRect/>
        </a:stretch>
      </xdr:blipFill>
      <xdr:spPr>
        <a:xfrm>
          <a:off x="4343400" y="2000250"/>
          <a:ext cx="12382500" cy="762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C31DF-03D1-4D24-87F2-963A1AC3086C}">
  <sheetPr codeName="Sheet3"/>
  <dimension ref="A3:J28"/>
  <sheetViews>
    <sheetView zoomScale="115" zoomScaleNormal="115" workbookViewId="0">
      <selection activeCell="Q27" sqref="Q27"/>
    </sheetView>
  </sheetViews>
  <sheetFormatPr defaultRowHeight="15.75" x14ac:dyDescent="0.25"/>
  <sheetData>
    <row r="3" spans="1:10" x14ac:dyDescent="0.25">
      <c r="J3">
        <v>5</v>
      </c>
    </row>
    <row r="4" spans="1:10" x14ac:dyDescent="0.25">
      <c r="A4" s="3">
        <v>37</v>
      </c>
      <c r="B4" s="3" cm="1">
        <f t="array" ref="B4">ROUND(((INDEX(B6:B28,MATCH(A4,A6:A28,1)*1))-(((INDEX(B6:B28,MATCH(A4,A6:A28,1)*1))-(INDEX(B6:B28,MATCH(A4,A6:A28,1)+1)))/((INDEX(A6:A28,MATCH(INDEX(B6:B28,MATCH(A4,A6:A28,1)+1),B6:B28,0)))-(INDEX(A6:A28,MATCH(INDEX(B6:B28,MATCH(A4,A6:A28,1)*1),B6:B28,0))))*(A4-(INDEX(A6:A28,MATCH(INDEX(B6:B28,MATCH(A4,A6:A28,1)*1),B6:B28,0)))))),0)</f>
        <v>69</v>
      </c>
      <c r="D4" s="3">
        <v>37</v>
      </c>
      <c r="E4" s="3" cm="1">
        <f t="array" ref="E4">ROUND(((INDEX(E6:E28,MATCH(D4,D6:D28,1)*1))-(((INDEX(E6:E28,MATCH(D4,D6:D28,1)*1))-(INDEX(E6:E28,MATCH(D4,D6:D28,1)+1)))/((INDEX(D6:D28,MATCH(INDEX(E6:E28,MATCH(D4,D6:D28,1)+1),E6:E28,0)))-(INDEX(D6:D28,MATCH(INDEX(E6:E28,MATCH(D4,D6:D28,1)*1),E6:E28,0))))*(D4-(INDEX(D6:D28,MATCH(INDEX(E6:E28,MATCH(D4,D6:D28,1)*1),E6:E28,0)))))),0)</f>
        <v>82</v>
      </c>
      <c r="G4" s="3">
        <v>37</v>
      </c>
      <c r="H4" s="3" cm="1">
        <f t="array" ref="H4">ROUND(((INDEX(H6:H28,MATCH(G4,G6:G28,1)*1))-(((INDEX(H6:H28,MATCH(G4,G6:G28,1)*1))-(INDEX(H6:H28,MATCH(G4,G6:G28,1)+1)))/((INDEX(G6:G28,MATCH(INDEX(H6:H28,MATCH(G4,G6:G28,1)+1),H6:H28,0)))-(INDEX(G6:G28,MATCH(INDEX(H6:H28,MATCH(G4,G6:G28,1)*1),H6:H28,0))))*(G4-(INDEX(G6:G28,MATCH(INDEX(H6:H28,MATCH(G4,G6:G28,1)*1),H6:H28,0)))))),0)</f>
        <v>98</v>
      </c>
      <c r="J4">
        <v>20</v>
      </c>
    </row>
    <row r="5" spans="1:10" x14ac:dyDescent="0.25">
      <c r="A5" s="5" t="s">
        <v>34</v>
      </c>
      <c r="B5" s="5"/>
      <c r="C5" s="5"/>
      <c r="D5" s="5" t="s">
        <v>33</v>
      </c>
      <c r="E5" s="5"/>
      <c r="F5" s="5"/>
      <c r="G5" s="5" t="s">
        <v>32</v>
      </c>
      <c r="H5" s="5"/>
      <c r="J5">
        <v>70</v>
      </c>
    </row>
    <row r="6" spans="1:10" x14ac:dyDescent="0.25">
      <c r="A6" s="5">
        <v>25.087641772545901</v>
      </c>
      <c r="B6" s="5">
        <v>5.17255717198673</v>
      </c>
      <c r="C6" s="5"/>
      <c r="D6" s="5">
        <v>25.027331429351101</v>
      </c>
      <c r="E6" s="5">
        <v>9.9045693033510105</v>
      </c>
      <c r="F6" s="5"/>
      <c r="G6" s="5">
        <v>25.026412071410402</v>
      </c>
      <c r="H6" s="5">
        <v>14.0435469635977</v>
      </c>
    </row>
    <row r="7" spans="1:10" x14ac:dyDescent="0.25">
      <c r="A7" s="5">
        <v>26.0949901270147</v>
      </c>
      <c r="B7" s="5">
        <v>5.4384153137614701</v>
      </c>
      <c r="C7" s="5"/>
      <c r="D7" s="5">
        <v>26.3605421816256</v>
      </c>
      <c r="E7" s="5">
        <v>10.456432991382201</v>
      </c>
      <c r="F7" s="5"/>
      <c r="G7" s="5">
        <v>26.151951380568502</v>
      </c>
      <c r="H7" s="5">
        <v>15.784107516173</v>
      </c>
    </row>
    <row r="8" spans="1:10" x14ac:dyDescent="0.25">
      <c r="A8" s="5">
        <v>27.487197853997401</v>
      </c>
      <c r="B8" s="5">
        <v>7.1710920993669598</v>
      </c>
      <c r="C8" s="5"/>
      <c r="D8" s="5">
        <v>27.574970963391898</v>
      </c>
      <c r="E8" s="5">
        <v>12.194365621631301</v>
      </c>
      <c r="F8" s="5"/>
      <c r="G8" s="5">
        <v>27.543765097005199</v>
      </c>
      <c r="H8" s="5">
        <v>19.290631870457499</v>
      </c>
    </row>
    <row r="9" spans="1:10" x14ac:dyDescent="0.25">
      <c r="A9" s="5">
        <v>29.056724847226199</v>
      </c>
      <c r="B9" s="5">
        <v>10.968001870449999</v>
      </c>
      <c r="C9" s="5"/>
      <c r="D9" s="5">
        <v>28.9074593629988</v>
      </c>
      <c r="E9" s="5">
        <v>15.998283185574</v>
      </c>
      <c r="F9" s="5"/>
      <c r="G9" s="5">
        <v>28.9056863155418</v>
      </c>
      <c r="H9" s="5">
        <v>23.9805972446295</v>
      </c>
    </row>
    <row r="10" spans="1:10" x14ac:dyDescent="0.25">
      <c r="A10" s="5">
        <v>30.714550297244202</v>
      </c>
      <c r="B10" s="5">
        <v>17.423055072225399</v>
      </c>
      <c r="C10" s="5"/>
      <c r="D10" s="5">
        <v>30.180294103654301</v>
      </c>
      <c r="E10" s="5">
        <v>21.577800266415899</v>
      </c>
      <c r="F10" s="5"/>
      <c r="G10" s="5">
        <v>30.060001759386299</v>
      </c>
      <c r="H10" s="5">
        <v>29.563618221899102</v>
      </c>
    </row>
    <row r="11" spans="1:10" x14ac:dyDescent="0.25">
      <c r="A11" s="5">
        <v>32.608626319792201</v>
      </c>
      <c r="B11" s="5">
        <v>27.4187956184862</v>
      </c>
      <c r="C11" s="5"/>
      <c r="D11" s="5">
        <v>31.867092693631701</v>
      </c>
      <c r="E11" s="5">
        <v>30.9883901085419</v>
      </c>
      <c r="F11" s="5"/>
      <c r="G11" s="5">
        <v>31.302878333717299</v>
      </c>
      <c r="H11" s="5">
        <v>36.622217584075102</v>
      </c>
    </row>
    <row r="12" spans="1:10" x14ac:dyDescent="0.25">
      <c r="A12" s="5">
        <v>34.1472101203316</v>
      </c>
      <c r="B12" s="5">
        <v>37.1294065926051</v>
      </c>
      <c r="C12" s="5"/>
      <c r="D12" s="5">
        <v>33.168703568973498</v>
      </c>
      <c r="E12" s="5">
        <v>40.410367614078197</v>
      </c>
      <c r="F12" s="5"/>
      <c r="G12" s="5">
        <v>32.6339876964132</v>
      </c>
      <c r="H12" s="5">
        <v>46.634601638394301</v>
      </c>
    </row>
    <row r="13" spans="1:10" x14ac:dyDescent="0.25">
      <c r="A13" s="5">
        <v>35.921387809157501</v>
      </c>
      <c r="B13" s="5">
        <v>53.337117525674401</v>
      </c>
      <c r="C13" s="5"/>
      <c r="D13" s="5">
        <v>34.943537942042802</v>
      </c>
      <c r="E13" s="5">
        <v>53.661665932686802</v>
      </c>
      <c r="F13" s="5"/>
      <c r="G13" s="5">
        <v>33.876010581227902</v>
      </c>
      <c r="H13" s="5">
        <v>57.536537399374701</v>
      </c>
    </row>
    <row r="14" spans="1:10" x14ac:dyDescent="0.25">
      <c r="A14" s="5">
        <v>36.7188319940825</v>
      </c>
      <c r="B14" s="5">
        <v>64.843475421169899</v>
      </c>
      <c r="C14" s="5"/>
      <c r="D14" s="5">
        <v>36.184904142614201</v>
      </c>
      <c r="E14" s="5">
        <v>67.520014308127998</v>
      </c>
      <c r="F14" s="5"/>
      <c r="G14" s="5">
        <v>34.910690365047699</v>
      </c>
      <c r="H14" s="5">
        <v>68.148963717662497</v>
      </c>
    </row>
    <row r="15" spans="1:10" x14ac:dyDescent="0.25">
      <c r="A15" s="5">
        <v>37.663768615777798</v>
      </c>
      <c r="B15" s="5">
        <v>79.301866060588296</v>
      </c>
      <c r="C15" s="5"/>
      <c r="D15" s="5">
        <v>37.099816929560703</v>
      </c>
      <c r="E15" s="5">
        <v>83.753128490335598</v>
      </c>
      <c r="F15" s="5"/>
      <c r="G15" s="5">
        <v>35.826588178359302</v>
      </c>
      <c r="H15" s="5">
        <v>79.947458978172605</v>
      </c>
    </row>
    <row r="16" spans="1:10" x14ac:dyDescent="0.25">
      <c r="A16" s="5">
        <v>38.578353060602602</v>
      </c>
      <c r="B16" s="5">
        <v>97.013186550019796</v>
      </c>
      <c r="C16" s="5"/>
      <c r="D16" s="5">
        <v>38.044359540709998</v>
      </c>
      <c r="E16" s="5">
        <v>99.985366698432998</v>
      </c>
      <c r="F16" s="5"/>
      <c r="G16" s="5">
        <v>36.919214242097901</v>
      </c>
      <c r="H16" s="5">
        <v>96.470958577178706</v>
      </c>
    </row>
    <row r="17" spans="1:8" x14ac:dyDescent="0.25">
      <c r="A17" s="5">
        <v>39.404639048638302</v>
      </c>
      <c r="B17" s="5">
        <v>112.066363608763</v>
      </c>
      <c r="C17" s="5"/>
      <c r="D17" s="5">
        <v>38.899553000280697</v>
      </c>
      <c r="E17" s="5">
        <v>118.28972165897299</v>
      </c>
      <c r="F17" s="5"/>
      <c r="G17" s="5">
        <v>37.567589948068502</v>
      </c>
      <c r="H17" s="5">
        <v>112.120674003459</v>
      </c>
    </row>
    <row r="18" spans="1:8" x14ac:dyDescent="0.25">
      <c r="A18" s="5">
        <v>40.376578757563003</v>
      </c>
      <c r="B18" s="5">
        <v>138.349528731931</v>
      </c>
      <c r="C18" s="5"/>
      <c r="D18" s="5">
        <v>39.5476003641296</v>
      </c>
      <c r="E18" s="5">
        <v>135.41764339248999</v>
      </c>
      <c r="F18" s="5"/>
      <c r="G18" s="5">
        <v>38.4225864023662</v>
      </c>
      <c r="H18" s="5">
        <v>131.311952748343</v>
      </c>
    </row>
    <row r="19" spans="1:8" x14ac:dyDescent="0.25">
      <c r="A19" s="5"/>
      <c r="B19" s="5"/>
      <c r="C19" s="5"/>
      <c r="D19" s="5">
        <v>40.342811822627198</v>
      </c>
      <c r="E19" s="5">
        <v>156.97580417715801</v>
      </c>
      <c r="F19" s="5"/>
      <c r="G19" s="5">
        <v>39.217797860863797</v>
      </c>
      <c r="H19" s="5">
        <v>152.870113533015</v>
      </c>
    </row>
    <row r="20" spans="1:8" x14ac:dyDescent="0.25">
      <c r="A20" s="5"/>
      <c r="B20" s="5"/>
      <c r="C20" s="5"/>
      <c r="D20" s="5"/>
      <c r="E20" s="5"/>
      <c r="F20" s="5"/>
      <c r="G20" s="5">
        <v>40.3361136433452</v>
      </c>
      <c r="H20" s="5">
        <v>187.13121284469301</v>
      </c>
    </row>
    <row r="21" spans="1:8" x14ac:dyDescent="0.25">
      <c r="A21" s="5"/>
      <c r="B21" s="5"/>
      <c r="C21" s="5"/>
      <c r="D21" s="5"/>
      <c r="E21" s="5"/>
    </row>
    <row r="22" spans="1:8" x14ac:dyDescent="0.25">
      <c r="A22" s="5"/>
      <c r="B22" s="5"/>
      <c r="C22" s="5"/>
      <c r="D22" s="5"/>
      <c r="E22" s="5"/>
    </row>
    <row r="23" spans="1:8" x14ac:dyDescent="0.25">
      <c r="A23" s="5"/>
      <c r="B23" s="5"/>
      <c r="C23" s="5"/>
      <c r="D23" s="5"/>
      <c r="E23" s="5"/>
    </row>
    <row r="24" spans="1:8" x14ac:dyDescent="0.25">
      <c r="A24" s="5"/>
      <c r="B24" s="5"/>
      <c r="C24" s="5"/>
      <c r="D24" s="5"/>
      <c r="E24" s="5"/>
    </row>
    <row r="25" spans="1:8" x14ac:dyDescent="0.25">
      <c r="A25" s="5"/>
      <c r="B25" s="5"/>
      <c r="C25" s="5"/>
      <c r="D25" s="5"/>
      <c r="E25" s="5"/>
    </row>
    <row r="26" spans="1:8" x14ac:dyDescent="0.25">
      <c r="A26" s="5"/>
      <c r="B26" s="5"/>
      <c r="C26" s="5"/>
      <c r="D26" s="5"/>
      <c r="E26" s="5"/>
    </row>
    <row r="27" spans="1:8" x14ac:dyDescent="0.25">
      <c r="A27" s="5"/>
      <c r="B27" s="5"/>
      <c r="C27" s="5"/>
      <c r="D27" s="5"/>
      <c r="E27" s="5"/>
    </row>
    <row r="28" spans="1:8" x14ac:dyDescent="0.25">
      <c r="A28" s="5"/>
      <c r="B28" s="5"/>
      <c r="C28" s="5"/>
      <c r="D28" s="5"/>
      <c r="E28" s="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42F80-40BF-4FFB-B780-35D8D6C59B49}">
  <sheetPr codeName="Sheet4"/>
  <dimension ref="B2:V43"/>
  <sheetViews>
    <sheetView topLeftCell="B1" workbookViewId="0">
      <selection activeCell="V4" sqref="V4"/>
    </sheetView>
  </sheetViews>
  <sheetFormatPr defaultRowHeight="15.75" x14ac:dyDescent="0.25"/>
  <cols>
    <col min="2" max="2" width="6.875" customWidth="1"/>
    <col min="3" max="3" width="20" customWidth="1"/>
    <col min="4" max="4" width="27.75" customWidth="1"/>
  </cols>
  <sheetData>
    <row r="2" spans="2:22" x14ac:dyDescent="0.25">
      <c r="V2" t="s">
        <v>30</v>
      </c>
    </row>
    <row r="3" spans="2:22" x14ac:dyDescent="0.25">
      <c r="V3" t="s">
        <v>31</v>
      </c>
    </row>
    <row r="5" spans="2:22" x14ac:dyDescent="0.25">
      <c r="B5" t="s">
        <v>20</v>
      </c>
    </row>
    <row r="6" spans="2:22" x14ac:dyDescent="0.25">
      <c r="B6" t="s">
        <v>22</v>
      </c>
    </row>
    <row r="8" spans="2:22" x14ac:dyDescent="0.25">
      <c r="B8" t="s">
        <v>12</v>
      </c>
    </row>
    <row r="9" spans="2:22" x14ac:dyDescent="0.25">
      <c r="B9">
        <v>1</v>
      </c>
      <c r="C9" t="s">
        <v>23</v>
      </c>
    </row>
    <row r="10" spans="2:22" x14ac:dyDescent="0.25">
      <c r="B10">
        <v>2</v>
      </c>
      <c r="C10" t="s">
        <v>13</v>
      </c>
    </row>
    <row r="11" spans="2:22" x14ac:dyDescent="0.25">
      <c r="B11">
        <v>3</v>
      </c>
      <c r="C11" t="s">
        <v>25</v>
      </c>
    </row>
    <row r="12" spans="2:22" x14ac:dyDescent="0.25">
      <c r="B12">
        <v>4</v>
      </c>
      <c r="C12" t="s">
        <v>24</v>
      </c>
    </row>
    <row r="13" spans="2:22" x14ac:dyDescent="0.25">
      <c r="B13">
        <v>5</v>
      </c>
      <c r="C13" t="s">
        <v>21</v>
      </c>
      <c r="J13" s="4"/>
    </row>
    <row r="14" spans="2:22" x14ac:dyDescent="0.25">
      <c r="B14" t="s">
        <v>15</v>
      </c>
      <c r="C14" t="s">
        <v>16</v>
      </c>
      <c r="D14" t="s">
        <v>17</v>
      </c>
    </row>
    <row r="15" spans="2:22" x14ac:dyDescent="0.25">
      <c r="B15" t="s">
        <v>14</v>
      </c>
      <c r="C15" t="s">
        <v>19</v>
      </c>
      <c r="D15" t="s">
        <v>18</v>
      </c>
    </row>
    <row r="36" spans="7:12" x14ac:dyDescent="0.25">
      <c r="G36" s="3" t="s">
        <v>28</v>
      </c>
      <c r="H36" s="3"/>
      <c r="I36" s="3"/>
      <c r="J36" s="3"/>
      <c r="K36" s="3"/>
      <c r="L36" s="3"/>
    </row>
    <row r="37" spans="7:12" x14ac:dyDescent="0.25">
      <c r="G37" s="3"/>
      <c r="H37" s="3"/>
      <c r="I37" s="3"/>
      <c r="J37" s="3"/>
      <c r="K37" s="3"/>
      <c r="L37" s="3"/>
    </row>
    <row r="38" spans="7:12" x14ac:dyDescent="0.25">
      <c r="G38" s="3"/>
      <c r="H38" s="3"/>
      <c r="I38" s="3"/>
      <c r="J38" s="3"/>
      <c r="K38" s="3"/>
      <c r="L38" s="3"/>
    </row>
    <row r="39" spans="7:12" x14ac:dyDescent="0.25">
      <c r="G39" s="3"/>
      <c r="H39" s="3"/>
      <c r="I39" s="3"/>
      <c r="J39" s="3"/>
      <c r="K39" s="3"/>
      <c r="L39" s="3"/>
    </row>
    <row r="40" spans="7:12" x14ac:dyDescent="0.25">
      <c r="G40" s="3" t="s">
        <v>29</v>
      </c>
      <c r="H40" s="3"/>
      <c r="I40" s="3"/>
      <c r="J40" s="3"/>
      <c r="K40" s="3"/>
      <c r="L40" s="3"/>
    </row>
    <row r="41" spans="7:12" x14ac:dyDescent="0.25">
      <c r="G41" s="3"/>
      <c r="H41" s="3"/>
      <c r="I41" s="3"/>
      <c r="J41" s="3"/>
      <c r="K41" s="3"/>
      <c r="L41" s="3"/>
    </row>
    <row r="42" spans="7:12" x14ac:dyDescent="0.25">
      <c r="G42" s="3"/>
      <c r="H42" s="3"/>
      <c r="I42" s="3"/>
      <c r="J42" s="3"/>
      <c r="K42" s="3"/>
      <c r="L42" s="3"/>
    </row>
    <row r="43" spans="7:12" x14ac:dyDescent="0.25">
      <c r="G43" s="3"/>
      <c r="H43" s="3"/>
      <c r="I43" s="3"/>
      <c r="J43" s="3"/>
      <c r="K43" s="3"/>
      <c r="L43" s="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17236-8A83-4F57-98AA-2CB5C778557A}">
  <sheetPr codeName="Sheet1"/>
  <dimension ref="B3:G208"/>
  <sheetViews>
    <sheetView tabSelected="1" zoomScale="85" zoomScaleNormal="85" workbookViewId="0">
      <selection activeCell="P9" sqref="P9"/>
    </sheetView>
  </sheetViews>
  <sheetFormatPr defaultRowHeight="15.75" x14ac:dyDescent="0.25"/>
  <cols>
    <col min="2" max="2" width="9.75" style="3" bestFit="1" customWidth="1"/>
    <col min="3" max="4" width="10.125" style="3" customWidth="1"/>
    <col min="5" max="5" width="9" style="3"/>
  </cols>
  <sheetData>
    <row r="3" spans="2:7" x14ac:dyDescent="0.25">
      <c r="B3" s="8" t="s">
        <v>47</v>
      </c>
      <c r="C3" s="8" t="s">
        <v>45</v>
      </c>
      <c r="D3" s="8" t="s">
        <v>46</v>
      </c>
    </row>
    <row r="4" spans="2:7" x14ac:dyDescent="0.25">
      <c r="B4" s="6" t="s">
        <v>48</v>
      </c>
      <c r="C4" s="6" t="s">
        <v>49</v>
      </c>
      <c r="D4" s="6" t="s">
        <v>50</v>
      </c>
    </row>
    <row r="5" spans="2:7" x14ac:dyDescent="0.25">
      <c r="B5" s="6" t="s">
        <v>51</v>
      </c>
      <c r="C5" s="9">
        <v>43831</v>
      </c>
      <c r="D5" s="6" t="s">
        <v>50</v>
      </c>
    </row>
    <row r="6" spans="2:7" x14ac:dyDescent="0.25">
      <c r="B6" s="6" t="s">
        <v>40</v>
      </c>
      <c r="C6" s="6">
        <v>1000</v>
      </c>
      <c r="D6" s="6" t="s">
        <v>43</v>
      </c>
    </row>
    <row r="7" spans="2:7" x14ac:dyDescent="0.25">
      <c r="B7" s="6" t="s">
        <v>41</v>
      </c>
      <c r="C7" s="6">
        <v>1200</v>
      </c>
      <c r="D7" s="6" t="s">
        <v>43</v>
      </c>
    </row>
    <row r="8" spans="2:7" x14ac:dyDescent="0.25">
      <c r="B8" s="6" t="s">
        <v>42</v>
      </c>
      <c r="C8" s="6">
        <v>5</v>
      </c>
      <c r="D8" s="6" t="s">
        <v>44</v>
      </c>
    </row>
    <row r="9" spans="2:7" x14ac:dyDescent="0.25">
      <c r="G9" s="7" t="s">
        <v>39</v>
      </c>
    </row>
    <row r="10" spans="2:7" x14ac:dyDescent="0.25">
      <c r="B10" s="8" t="s">
        <v>35</v>
      </c>
      <c r="C10" s="8" t="s">
        <v>38</v>
      </c>
      <c r="D10" s="8" t="s">
        <v>36</v>
      </c>
      <c r="E10" s="8" t="s">
        <v>37</v>
      </c>
      <c r="F10" s="3"/>
    </row>
    <row r="11" spans="2:7" x14ac:dyDescent="0.25">
      <c r="B11" s="6">
        <v>0.3</v>
      </c>
      <c r="C11" s="6">
        <v>8.67</v>
      </c>
      <c r="D11" s="6">
        <v>41.4</v>
      </c>
      <c r="E11" s="6">
        <v>0.47750865051903113</v>
      </c>
    </row>
    <row r="12" spans="2:7" x14ac:dyDescent="0.25">
      <c r="B12" s="6">
        <v>0.4</v>
      </c>
      <c r="C12" s="6">
        <v>9.9600000000000009</v>
      </c>
      <c r="D12" s="6">
        <v>51.1</v>
      </c>
      <c r="E12" s="6">
        <v>0.51305220883534131</v>
      </c>
    </row>
    <row r="13" spans="2:7" x14ac:dyDescent="0.25">
      <c r="B13" s="6">
        <v>0.5</v>
      </c>
      <c r="C13" s="6">
        <v>9.39</v>
      </c>
      <c r="D13" s="6">
        <v>87.4</v>
      </c>
      <c r="E13" s="6">
        <v>0.93077742279020226</v>
      </c>
    </row>
    <row r="14" spans="2:7" x14ac:dyDescent="0.25">
      <c r="B14" s="6">
        <v>0.6</v>
      </c>
      <c r="C14" s="6">
        <v>8.59</v>
      </c>
      <c r="D14" s="6">
        <v>103</v>
      </c>
      <c r="E14" s="6">
        <v>1.1990686845168801</v>
      </c>
    </row>
    <row r="15" spans="2:7" x14ac:dyDescent="0.25">
      <c r="B15" s="6">
        <v>0.7</v>
      </c>
      <c r="C15" s="6">
        <v>9.42</v>
      </c>
      <c r="D15" s="6">
        <v>61.4</v>
      </c>
      <c r="E15" s="6">
        <v>0.65180467091295125</v>
      </c>
    </row>
    <row r="16" spans="2:7" x14ac:dyDescent="0.25">
      <c r="B16" s="6">
        <v>0.8</v>
      </c>
      <c r="C16" s="6">
        <v>9.99</v>
      </c>
      <c r="D16" s="6">
        <v>55.4</v>
      </c>
      <c r="E16" s="6">
        <v>0.5545545545545546</v>
      </c>
    </row>
    <row r="17" spans="2:5" x14ac:dyDescent="0.25">
      <c r="B17" s="6">
        <v>0.9</v>
      </c>
      <c r="C17" s="6">
        <v>7.45</v>
      </c>
      <c r="D17" s="6">
        <v>55.6</v>
      </c>
      <c r="E17" s="6">
        <v>0.74630872483221478</v>
      </c>
    </row>
    <row r="18" spans="2:5" x14ac:dyDescent="0.25">
      <c r="B18" s="6">
        <v>1</v>
      </c>
      <c r="C18" s="6">
        <v>5.78</v>
      </c>
      <c r="D18" s="6">
        <v>75.5</v>
      </c>
      <c r="E18" s="6">
        <v>1.3062283737024223</v>
      </c>
    </row>
    <row r="19" spans="2:5" x14ac:dyDescent="0.25">
      <c r="B19" s="6">
        <v>1.1000000000000001</v>
      </c>
      <c r="C19" s="6">
        <v>5.57</v>
      </c>
      <c r="D19" s="6">
        <v>52.8</v>
      </c>
      <c r="E19" s="6">
        <v>0.94793536804308798</v>
      </c>
    </row>
    <row r="20" spans="2:5" x14ac:dyDescent="0.25">
      <c r="B20" s="6">
        <v>1.2</v>
      </c>
      <c r="C20" s="6">
        <v>5.67</v>
      </c>
      <c r="D20" s="6">
        <v>34.700000000000003</v>
      </c>
      <c r="E20" s="6">
        <v>0.61199294532627879</v>
      </c>
    </row>
    <row r="21" spans="2:5" x14ac:dyDescent="0.25">
      <c r="B21" s="6">
        <v>1.3</v>
      </c>
      <c r="C21" s="6">
        <v>5.6</v>
      </c>
      <c r="D21" s="6">
        <v>30.6</v>
      </c>
      <c r="E21" s="6">
        <v>0.5464285714285716</v>
      </c>
    </row>
    <row r="22" spans="2:5" x14ac:dyDescent="0.25">
      <c r="B22" s="6">
        <v>1.4</v>
      </c>
      <c r="C22" s="6">
        <v>5.26</v>
      </c>
      <c r="D22" s="6">
        <v>20.3</v>
      </c>
      <c r="E22" s="6">
        <v>0.3859315589353613</v>
      </c>
    </row>
    <row r="23" spans="2:5" x14ac:dyDescent="0.25">
      <c r="B23" s="6">
        <v>1.5</v>
      </c>
      <c r="C23" s="6">
        <v>4.12</v>
      </c>
      <c r="D23" s="6">
        <v>20.3</v>
      </c>
      <c r="E23" s="6">
        <v>0.49271844660194181</v>
      </c>
    </row>
    <row r="24" spans="2:5" x14ac:dyDescent="0.25">
      <c r="B24" s="6">
        <v>1.6</v>
      </c>
      <c r="C24" s="6">
        <v>3</v>
      </c>
      <c r="D24" s="6">
        <v>13.6</v>
      </c>
      <c r="E24" s="6">
        <v>0.45333333333333337</v>
      </c>
    </row>
    <row r="25" spans="2:5" x14ac:dyDescent="0.25">
      <c r="B25" s="6">
        <v>1.7</v>
      </c>
      <c r="C25" s="6">
        <v>0.91</v>
      </c>
      <c r="D25" s="6">
        <v>12.4</v>
      </c>
      <c r="E25" s="6">
        <v>1.3626373626373629</v>
      </c>
    </row>
    <row r="26" spans="2:5" x14ac:dyDescent="0.25">
      <c r="B26" s="6">
        <v>1.8</v>
      </c>
      <c r="C26" s="6">
        <v>0.46</v>
      </c>
      <c r="D26" s="6">
        <v>34.700000000000003</v>
      </c>
      <c r="E26" s="6">
        <v>7.5434782608695663</v>
      </c>
    </row>
    <row r="27" spans="2:5" x14ac:dyDescent="0.25">
      <c r="B27" s="6">
        <v>1.9</v>
      </c>
      <c r="C27" s="6">
        <v>8.24</v>
      </c>
      <c r="D27" s="6">
        <v>32.1</v>
      </c>
      <c r="E27" s="6">
        <v>0.38956310679611655</v>
      </c>
    </row>
    <row r="28" spans="2:5" x14ac:dyDescent="0.25">
      <c r="B28" s="6">
        <v>2</v>
      </c>
      <c r="C28" s="6">
        <v>12.16</v>
      </c>
      <c r="D28" s="6">
        <v>31.7</v>
      </c>
      <c r="E28" s="6">
        <v>0.26069078947368418</v>
      </c>
    </row>
    <row r="29" spans="2:5" x14ac:dyDescent="0.25">
      <c r="B29" s="6">
        <v>2.1</v>
      </c>
      <c r="C29" s="6">
        <v>12.58</v>
      </c>
      <c r="D29" s="6">
        <v>32.1</v>
      </c>
      <c r="E29" s="6">
        <v>0.25516693163751991</v>
      </c>
    </row>
    <row r="30" spans="2:5" x14ac:dyDescent="0.25">
      <c r="B30" s="6">
        <v>2.2000000000000002</v>
      </c>
      <c r="C30" s="6">
        <v>10.32</v>
      </c>
      <c r="D30" s="6">
        <v>35.700000000000003</v>
      </c>
      <c r="E30" s="6">
        <v>0.34593023255813954</v>
      </c>
    </row>
    <row r="31" spans="2:5" x14ac:dyDescent="0.25">
      <c r="B31" s="6">
        <v>2.2999999999999998</v>
      </c>
      <c r="C31" s="6">
        <v>9.76</v>
      </c>
      <c r="D31" s="6">
        <v>27.8</v>
      </c>
      <c r="E31" s="6">
        <v>0.2848360655737705</v>
      </c>
    </row>
    <row r="32" spans="2:5" x14ac:dyDescent="0.25">
      <c r="B32" s="6">
        <v>2.4</v>
      </c>
      <c r="C32" s="6">
        <v>9.2799999999999994</v>
      </c>
      <c r="D32" s="6">
        <v>17</v>
      </c>
      <c r="E32" s="6">
        <v>0.18318965517241381</v>
      </c>
    </row>
    <row r="33" spans="2:5" x14ac:dyDescent="0.25">
      <c r="B33" s="6">
        <v>2.5</v>
      </c>
      <c r="C33" s="6">
        <v>8.2200000000000006</v>
      </c>
      <c r="D33" s="6">
        <v>23.4</v>
      </c>
      <c r="E33" s="6">
        <v>0.28467153284671531</v>
      </c>
    </row>
    <row r="34" spans="2:5" x14ac:dyDescent="0.25">
      <c r="B34" s="6">
        <v>2.6</v>
      </c>
      <c r="C34" s="6">
        <v>7.21</v>
      </c>
      <c r="D34" s="6">
        <v>12.2</v>
      </c>
      <c r="E34" s="6">
        <v>0.16920943134535368</v>
      </c>
    </row>
    <row r="35" spans="2:5" x14ac:dyDescent="0.25">
      <c r="B35" s="6">
        <v>2.7</v>
      </c>
      <c r="C35" s="6">
        <v>6.08</v>
      </c>
      <c r="D35" s="6">
        <v>11.8</v>
      </c>
      <c r="E35" s="6">
        <v>0.19407894736842107</v>
      </c>
    </row>
    <row r="36" spans="2:5" x14ac:dyDescent="0.25">
      <c r="B36" s="6">
        <v>2.8</v>
      </c>
      <c r="C36" s="6">
        <v>6.77</v>
      </c>
      <c r="D36" s="6">
        <v>12.8</v>
      </c>
      <c r="E36" s="6">
        <v>0.18906942392909901</v>
      </c>
    </row>
    <row r="37" spans="2:5" x14ac:dyDescent="0.25">
      <c r="B37" s="6">
        <v>2.9</v>
      </c>
      <c r="C37" s="6">
        <v>6.75</v>
      </c>
      <c r="D37" s="6">
        <v>11.5</v>
      </c>
      <c r="E37" s="6">
        <v>0.17037037037037039</v>
      </c>
    </row>
    <row r="38" spans="2:5" x14ac:dyDescent="0.25">
      <c r="B38" s="6">
        <v>3</v>
      </c>
      <c r="C38" s="6">
        <v>5.54</v>
      </c>
      <c r="D38" s="6">
        <v>13.8</v>
      </c>
      <c r="E38" s="6">
        <v>0.24909747292418774</v>
      </c>
    </row>
    <row r="39" spans="2:5" x14ac:dyDescent="0.25">
      <c r="B39" s="6">
        <v>3.1</v>
      </c>
      <c r="C39" s="6">
        <v>6.02</v>
      </c>
      <c r="D39" s="6">
        <v>14.9</v>
      </c>
      <c r="E39" s="6">
        <v>0.24750830564784057</v>
      </c>
    </row>
    <row r="40" spans="2:5" x14ac:dyDescent="0.25">
      <c r="B40" s="6">
        <v>3.2</v>
      </c>
      <c r="C40" s="6">
        <v>4.8499999999999996</v>
      </c>
      <c r="D40" s="6">
        <v>14.4</v>
      </c>
      <c r="E40" s="6">
        <v>0.29690721649484542</v>
      </c>
    </row>
    <row r="41" spans="2:5" x14ac:dyDescent="0.25">
      <c r="B41" s="6">
        <v>3.3</v>
      </c>
      <c r="C41" s="6">
        <v>3.8</v>
      </c>
      <c r="D41" s="6">
        <v>32.5</v>
      </c>
      <c r="E41" s="6">
        <v>0.85526315789473684</v>
      </c>
    </row>
    <row r="42" spans="2:5" x14ac:dyDescent="0.25">
      <c r="B42" s="6">
        <v>3.4</v>
      </c>
      <c r="C42" s="6">
        <v>3.05</v>
      </c>
      <c r="D42" s="6">
        <v>33</v>
      </c>
      <c r="E42" s="6">
        <v>1.0819672131147542</v>
      </c>
    </row>
    <row r="43" spans="2:5" x14ac:dyDescent="0.25">
      <c r="B43" s="6">
        <v>3.5</v>
      </c>
      <c r="C43" s="6">
        <v>4.32</v>
      </c>
      <c r="D43" s="6">
        <v>47.2</v>
      </c>
      <c r="E43" s="6">
        <v>1.0925925925925926</v>
      </c>
    </row>
    <row r="44" spans="2:5" x14ac:dyDescent="0.25">
      <c r="B44" s="6">
        <v>3.6</v>
      </c>
      <c r="C44" s="6">
        <v>8.6300000000000008</v>
      </c>
      <c r="D44" s="6">
        <v>73.900000000000006</v>
      </c>
      <c r="E44" s="6">
        <v>0.85631517960602543</v>
      </c>
    </row>
    <row r="45" spans="2:5" x14ac:dyDescent="0.25">
      <c r="B45" s="6">
        <v>3.7</v>
      </c>
      <c r="C45" s="6">
        <v>14.15</v>
      </c>
      <c r="D45" s="6">
        <v>76</v>
      </c>
      <c r="E45" s="6">
        <v>0.53710247349823326</v>
      </c>
    </row>
    <row r="46" spans="2:5" x14ac:dyDescent="0.25">
      <c r="B46" s="6">
        <v>3.8</v>
      </c>
      <c r="C46" s="6">
        <v>14.11</v>
      </c>
      <c r="D46" s="6">
        <v>55.8</v>
      </c>
      <c r="E46" s="6">
        <v>0.39546420978029767</v>
      </c>
    </row>
    <row r="47" spans="2:5" x14ac:dyDescent="0.25">
      <c r="B47" s="6">
        <v>3.9</v>
      </c>
      <c r="C47" s="6">
        <v>11.1</v>
      </c>
      <c r="D47" s="6">
        <v>75.8</v>
      </c>
      <c r="E47" s="6">
        <v>0.6828828828828829</v>
      </c>
    </row>
    <row r="48" spans="2:5" x14ac:dyDescent="0.25">
      <c r="B48" s="6">
        <v>4</v>
      </c>
      <c r="C48" s="6">
        <v>8.82</v>
      </c>
      <c r="D48" s="6">
        <v>91.3</v>
      </c>
      <c r="E48" s="6">
        <v>1.0351473922902494</v>
      </c>
    </row>
    <row r="49" spans="2:5" x14ac:dyDescent="0.25">
      <c r="B49" s="6">
        <v>4.0999999999999996</v>
      </c>
      <c r="C49" s="6">
        <v>8.08</v>
      </c>
      <c r="D49" s="6">
        <v>48.6</v>
      </c>
      <c r="E49" s="6">
        <v>0.60148514851485146</v>
      </c>
    </row>
    <row r="50" spans="2:5" x14ac:dyDescent="0.25">
      <c r="B50" s="6">
        <v>4.2</v>
      </c>
      <c r="C50" s="6">
        <v>6.88</v>
      </c>
      <c r="D50" s="6">
        <v>26.9</v>
      </c>
      <c r="E50" s="6">
        <v>0.39098837209302323</v>
      </c>
    </row>
    <row r="51" spans="2:5" x14ac:dyDescent="0.25">
      <c r="B51" s="6">
        <v>4.3</v>
      </c>
      <c r="C51" s="6">
        <v>4.2699999999999996</v>
      </c>
      <c r="D51" s="6">
        <v>48.6</v>
      </c>
      <c r="E51" s="6">
        <v>1.1381733021077285</v>
      </c>
    </row>
    <row r="52" spans="2:5" x14ac:dyDescent="0.25">
      <c r="B52" s="6">
        <v>4.4000000000000004</v>
      </c>
      <c r="C52" s="6">
        <v>3.53</v>
      </c>
      <c r="D52" s="6">
        <v>19.2</v>
      </c>
      <c r="E52" s="6">
        <v>0.5439093484419264</v>
      </c>
    </row>
    <row r="53" spans="2:5" x14ac:dyDescent="0.25">
      <c r="B53" s="6">
        <v>4.5</v>
      </c>
      <c r="C53" s="6">
        <v>3.66</v>
      </c>
      <c r="D53" s="6">
        <v>12</v>
      </c>
      <c r="E53" s="6">
        <v>0.32786885245901642</v>
      </c>
    </row>
    <row r="54" spans="2:5" x14ac:dyDescent="0.25">
      <c r="B54" s="6">
        <v>4.5999999999999996</v>
      </c>
      <c r="C54" s="6">
        <v>3.66</v>
      </c>
      <c r="D54" s="6">
        <v>10.3</v>
      </c>
      <c r="E54" s="6">
        <v>0.28142076502732238</v>
      </c>
    </row>
    <row r="55" spans="2:5" x14ac:dyDescent="0.25">
      <c r="B55" s="6">
        <v>4.7</v>
      </c>
      <c r="C55" s="6">
        <v>4.2300000000000004</v>
      </c>
      <c r="D55" s="6">
        <v>12</v>
      </c>
      <c r="E55" s="6">
        <v>0.28368794326241137</v>
      </c>
    </row>
    <row r="56" spans="2:5" x14ac:dyDescent="0.25">
      <c r="B56" s="6">
        <v>4.8</v>
      </c>
      <c r="C56" s="6">
        <v>4.04</v>
      </c>
      <c r="D56" s="6">
        <v>23.6</v>
      </c>
      <c r="E56" s="6">
        <v>0.58415841584158423</v>
      </c>
    </row>
    <row r="57" spans="2:5" x14ac:dyDescent="0.25">
      <c r="B57" s="6">
        <v>4.9000000000000004</v>
      </c>
      <c r="C57" s="6">
        <v>3</v>
      </c>
      <c r="D57" s="6">
        <v>28.9</v>
      </c>
      <c r="E57" s="6">
        <v>0.96333333333333337</v>
      </c>
    </row>
    <row r="58" spans="2:5" x14ac:dyDescent="0.25">
      <c r="B58" s="6">
        <v>5</v>
      </c>
      <c r="C58" s="6">
        <v>3.45</v>
      </c>
      <c r="D58" s="6">
        <v>29</v>
      </c>
      <c r="E58" s="6">
        <v>0.84057971014492761</v>
      </c>
    </row>
    <row r="59" spans="2:5" x14ac:dyDescent="0.25">
      <c r="B59" s="6">
        <v>5.0999999999999996</v>
      </c>
      <c r="C59" s="6">
        <v>3.77</v>
      </c>
      <c r="D59" s="6">
        <v>23.6</v>
      </c>
      <c r="E59" s="6">
        <v>0.62599469496021232</v>
      </c>
    </row>
    <row r="60" spans="2:5" x14ac:dyDescent="0.25">
      <c r="B60" s="6">
        <v>5.2</v>
      </c>
      <c r="C60" s="6">
        <v>2.98</v>
      </c>
      <c r="D60" s="6">
        <v>35</v>
      </c>
      <c r="E60" s="6">
        <v>1.174496644295302</v>
      </c>
    </row>
    <row r="61" spans="2:5" x14ac:dyDescent="0.25">
      <c r="B61" s="6">
        <v>5.3</v>
      </c>
      <c r="C61" s="6">
        <v>2.27</v>
      </c>
      <c r="D61" s="6">
        <v>30.1</v>
      </c>
      <c r="E61" s="6">
        <v>1.3259911894273129</v>
      </c>
    </row>
    <row r="62" spans="2:5" x14ac:dyDescent="0.25">
      <c r="B62" s="6">
        <v>5.4</v>
      </c>
      <c r="C62" s="6">
        <v>2.91</v>
      </c>
      <c r="D62" s="6">
        <v>21</v>
      </c>
      <c r="E62" s="6">
        <v>0.72164948453608246</v>
      </c>
    </row>
    <row r="63" spans="2:5" x14ac:dyDescent="0.25">
      <c r="B63" s="6">
        <v>5.5</v>
      </c>
      <c r="C63" s="6">
        <v>1.74</v>
      </c>
      <c r="D63" s="6">
        <v>27.9</v>
      </c>
      <c r="E63" s="6">
        <v>1.603448275862069</v>
      </c>
    </row>
    <row r="64" spans="2:5" x14ac:dyDescent="0.25">
      <c r="B64" s="6">
        <v>5.6</v>
      </c>
      <c r="C64" s="6">
        <v>3.31</v>
      </c>
      <c r="D64" s="6">
        <v>28.7</v>
      </c>
      <c r="E64" s="6">
        <v>0.86706948640483383</v>
      </c>
    </row>
    <row r="65" spans="2:5" x14ac:dyDescent="0.25">
      <c r="B65" s="6">
        <v>5.7</v>
      </c>
      <c r="C65" s="6">
        <v>3.77</v>
      </c>
      <c r="D65" s="6">
        <v>31.6</v>
      </c>
      <c r="E65" s="6">
        <v>0.83819628647214861</v>
      </c>
    </row>
    <row r="66" spans="2:5" x14ac:dyDescent="0.25">
      <c r="B66" s="6">
        <v>5.8</v>
      </c>
      <c r="C66" s="6">
        <v>5.64</v>
      </c>
      <c r="D66" s="6">
        <v>39</v>
      </c>
      <c r="E66" s="6">
        <v>0.69148936170212771</v>
      </c>
    </row>
    <row r="67" spans="2:5" x14ac:dyDescent="0.25">
      <c r="B67" s="6">
        <v>5.9</v>
      </c>
      <c r="C67" s="6">
        <v>4.8</v>
      </c>
      <c r="D67" s="6">
        <v>32.700000000000003</v>
      </c>
      <c r="E67" s="6">
        <v>0.68125000000000013</v>
      </c>
    </row>
    <row r="68" spans="2:5" x14ac:dyDescent="0.25">
      <c r="B68" s="6">
        <v>6</v>
      </c>
      <c r="C68" s="6">
        <v>5.23</v>
      </c>
      <c r="D68" s="6">
        <v>18.5</v>
      </c>
      <c r="E68" s="6">
        <v>0.35372848948374758</v>
      </c>
    </row>
    <row r="69" spans="2:5" x14ac:dyDescent="0.25">
      <c r="B69" s="6">
        <v>6.1</v>
      </c>
      <c r="C69" s="6">
        <v>2.19</v>
      </c>
      <c r="D69" s="6">
        <v>17.600000000000001</v>
      </c>
      <c r="E69" s="6">
        <v>0.80365296803652986</v>
      </c>
    </row>
    <row r="70" spans="2:5" x14ac:dyDescent="0.25">
      <c r="B70" s="6">
        <v>6.2</v>
      </c>
      <c r="C70" s="6">
        <v>0.99</v>
      </c>
      <c r="D70" s="6">
        <v>21.9</v>
      </c>
      <c r="E70" s="6">
        <v>2.2121212121212119</v>
      </c>
    </row>
    <row r="71" spans="2:5" x14ac:dyDescent="0.25">
      <c r="B71" s="6">
        <v>6.3</v>
      </c>
      <c r="C71" s="6">
        <v>0.6</v>
      </c>
      <c r="D71" s="6">
        <v>25.5</v>
      </c>
      <c r="E71" s="6">
        <v>4.2500000000000009</v>
      </c>
    </row>
    <row r="72" spans="2:5" x14ac:dyDescent="0.25">
      <c r="B72" s="6">
        <v>6.4</v>
      </c>
      <c r="C72" s="6">
        <v>0.9</v>
      </c>
      <c r="D72" s="6">
        <v>23.6</v>
      </c>
      <c r="E72" s="6">
        <v>2.6222222222222227</v>
      </c>
    </row>
    <row r="73" spans="2:5" x14ac:dyDescent="0.25">
      <c r="B73" s="6">
        <v>6.5</v>
      </c>
      <c r="C73" s="6">
        <v>1.1200000000000001</v>
      </c>
      <c r="D73" s="6">
        <v>22.5</v>
      </c>
      <c r="E73" s="6">
        <v>2.0089285714285712</v>
      </c>
    </row>
    <row r="74" spans="2:5" x14ac:dyDescent="0.25">
      <c r="B74" s="6">
        <v>6.6</v>
      </c>
      <c r="C74" s="6">
        <v>0.91</v>
      </c>
      <c r="D74" s="6">
        <v>24.4</v>
      </c>
      <c r="E74" s="6">
        <v>2.6813186813186811</v>
      </c>
    </row>
    <row r="75" spans="2:5" x14ac:dyDescent="0.25">
      <c r="B75" s="6">
        <v>6.7</v>
      </c>
      <c r="C75" s="6">
        <v>1</v>
      </c>
      <c r="D75" s="6">
        <v>22.9</v>
      </c>
      <c r="E75" s="6">
        <v>2.29</v>
      </c>
    </row>
    <row r="76" spans="2:5" x14ac:dyDescent="0.25">
      <c r="B76" s="6">
        <v>6.8</v>
      </c>
      <c r="C76" s="6">
        <v>0.64</v>
      </c>
      <c r="D76" s="6">
        <v>15.6</v>
      </c>
      <c r="E76" s="6">
        <v>2.4375</v>
      </c>
    </row>
    <row r="77" spans="2:5" x14ac:dyDescent="0.25">
      <c r="B77" s="6">
        <v>6.9</v>
      </c>
      <c r="C77" s="6">
        <v>0.42</v>
      </c>
      <c r="D77" s="6">
        <v>19.7</v>
      </c>
      <c r="E77" s="6">
        <v>4.6904761904761907</v>
      </c>
    </row>
    <row r="78" spans="2:5" x14ac:dyDescent="0.25">
      <c r="B78" s="6">
        <v>7</v>
      </c>
      <c r="C78" s="6">
        <v>1.1399999999999999</v>
      </c>
      <c r="D78" s="6">
        <v>34.5</v>
      </c>
      <c r="E78" s="6">
        <v>3.0263157894736845</v>
      </c>
    </row>
    <row r="79" spans="2:5" x14ac:dyDescent="0.25">
      <c r="B79" s="6">
        <v>7.1</v>
      </c>
      <c r="C79" s="6">
        <v>6.92</v>
      </c>
      <c r="D79" s="6">
        <v>34.1</v>
      </c>
      <c r="E79" s="6">
        <v>0.49277456647398848</v>
      </c>
    </row>
    <row r="80" spans="2:5" x14ac:dyDescent="0.25">
      <c r="B80" s="6">
        <v>7.2</v>
      </c>
      <c r="C80" s="6">
        <v>7.76</v>
      </c>
      <c r="D80" s="6">
        <v>35.299999999999997</v>
      </c>
      <c r="E80" s="6">
        <v>0.45489690721649484</v>
      </c>
    </row>
    <row r="81" spans="2:5" x14ac:dyDescent="0.25">
      <c r="B81" s="6">
        <v>7.3000000000000096</v>
      </c>
      <c r="C81" s="6">
        <v>7.64</v>
      </c>
      <c r="D81" s="6">
        <v>32.9</v>
      </c>
      <c r="E81" s="6">
        <v>0.4306282722513089</v>
      </c>
    </row>
    <row r="82" spans="2:5" x14ac:dyDescent="0.25">
      <c r="B82" s="6">
        <v>7.4000000000000101</v>
      </c>
      <c r="C82" s="6">
        <v>7.36</v>
      </c>
      <c r="D82" s="6">
        <v>39.799999999999997</v>
      </c>
      <c r="E82" s="6">
        <v>0.54076086956521741</v>
      </c>
    </row>
    <row r="83" spans="2:5" x14ac:dyDescent="0.25">
      <c r="B83" s="6">
        <v>7.5000000000000098</v>
      </c>
      <c r="C83" s="6">
        <v>8.84</v>
      </c>
      <c r="D83" s="6">
        <v>67.900000000000006</v>
      </c>
      <c r="E83" s="6">
        <v>0.76809954751131237</v>
      </c>
    </row>
    <row r="84" spans="2:5" x14ac:dyDescent="0.25">
      <c r="B84" s="6">
        <v>7.6000000000000103</v>
      </c>
      <c r="C84" s="6">
        <v>9.09</v>
      </c>
      <c r="D84" s="6">
        <v>63.5</v>
      </c>
      <c r="E84" s="6">
        <v>0.69856985698569862</v>
      </c>
    </row>
    <row r="85" spans="2:5" x14ac:dyDescent="0.25">
      <c r="B85" s="6">
        <v>7.7000000000000099</v>
      </c>
      <c r="C85" s="6">
        <v>10.130000000000001</v>
      </c>
      <c r="D85" s="6">
        <v>26.7</v>
      </c>
      <c r="E85" s="6">
        <v>0.26357354392892396</v>
      </c>
    </row>
    <row r="86" spans="2:5" x14ac:dyDescent="0.25">
      <c r="B86" s="6">
        <v>7.8000000000000096</v>
      </c>
      <c r="C86" s="6">
        <v>9.06</v>
      </c>
      <c r="D86" s="6">
        <v>39</v>
      </c>
      <c r="E86" s="6">
        <v>0.43046357615894043</v>
      </c>
    </row>
    <row r="87" spans="2:5" x14ac:dyDescent="0.25">
      <c r="B87" s="6">
        <v>7.9000000000000101</v>
      </c>
      <c r="C87" s="6">
        <v>7.9</v>
      </c>
      <c r="D87" s="6">
        <v>58.8</v>
      </c>
      <c r="E87" s="6">
        <v>0.7443037974683544</v>
      </c>
    </row>
    <row r="88" spans="2:5" x14ac:dyDescent="0.25">
      <c r="B88" s="6">
        <v>8.0000000000000107</v>
      </c>
      <c r="C88" s="6">
        <v>9.8800000000000008</v>
      </c>
      <c r="D88" s="6">
        <v>40.200000000000003</v>
      </c>
      <c r="E88" s="6">
        <v>0.40688259109311742</v>
      </c>
    </row>
    <row r="89" spans="2:5" x14ac:dyDescent="0.25">
      <c r="B89" s="6">
        <v>8.1000000000000103</v>
      </c>
      <c r="C89" s="6">
        <v>8.75</v>
      </c>
      <c r="D89" s="6">
        <v>23.2</v>
      </c>
      <c r="E89" s="6">
        <v>0.26514285714285712</v>
      </c>
    </row>
    <row r="90" spans="2:5" x14ac:dyDescent="0.25">
      <c r="B90" s="6">
        <v>8.2000000000000099</v>
      </c>
      <c r="C90" s="6">
        <v>4.33</v>
      </c>
      <c r="D90" s="6">
        <v>21.9</v>
      </c>
      <c r="E90" s="6">
        <v>0.50577367205542723</v>
      </c>
    </row>
    <row r="91" spans="2:5" x14ac:dyDescent="0.25">
      <c r="B91" s="6">
        <v>8.3000000000000096</v>
      </c>
      <c r="C91" s="6">
        <v>0.86</v>
      </c>
      <c r="D91" s="6">
        <v>24</v>
      </c>
      <c r="E91" s="6">
        <v>2.7906976744186052</v>
      </c>
    </row>
    <row r="92" spans="2:5" x14ac:dyDescent="0.25">
      <c r="B92" s="6">
        <v>8.4000000000000092</v>
      </c>
      <c r="C92" s="6">
        <v>1.03</v>
      </c>
      <c r="D92" s="6">
        <v>18.399999999999999</v>
      </c>
      <c r="E92" s="6">
        <v>1.7864077669902911</v>
      </c>
    </row>
    <row r="93" spans="2:5" x14ac:dyDescent="0.25">
      <c r="B93" s="6">
        <v>8.5000000000000107</v>
      </c>
      <c r="C93" s="6">
        <v>1.43</v>
      </c>
      <c r="D93" s="6">
        <v>25.6</v>
      </c>
      <c r="E93" s="6">
        <v>1.7902097902097907</v>
      </c>
    </row>
    <row r="94" spans="2:5" x14ac:dyDescent="0.25">
      <c r="B94" s="6">
        <v>8.6000000000000103</v>
      </c>
      <c r="C94" s="6">
        <v>3.27</v>
      </c>
      <c r="D94" s="6">
        <v>28.6</v>
      </c>
      <c r="E94" s="6">
        <v>0.87461773700305823</v>
      </c>
    </row>
    <row r="95" spans="2:5" x14ac:dyDescent="0.25">
      <c r="B95" s="6">
        <v>8.7000000000000099</v>
      </c>
      <c r="C95" s="6">
        <v>1.49</v>
      </c>
      <c r="D95" s="6">
        <v>35.299999999999997</v>
      </c>
      <c r="E95" s="6">
        <v>2.3691275167785233</v>
      </c>
    </row>
    <row r="96" spans="2:5" x14ac:dyDescent="0.25">
      <c r="B96" s="6">
        <v>8.8000000000000096</v>
      </c>
      <c r="C96" s="6">
        <v>1.48</v>
      </c>
      <c r="D96" s="6">
        <v>46.5</v>
      </c>
      <c r="E96" s="6">
        <v>3.1418918918918921</v>
      </c>
    </row>
    <row r="97" spans="2:5" x14ac:dyDescent="0.25">
      <c r="B97" s="6">
        <v>8.9000000000000092</v>
      </c>
      <c r="C97" s="6">
        <v>4.84</v>
      </c>
      <c r="D97" s="6">
        <v>25.1</v>
      </c>
      <c r="E97" s="6">
        <v>0.51859504132231415</v>
      </c>
    </row>
    <row r="98" spans="2:5" x14ac:dyDescent="0.25">
      <c r="B98" s="6">
        <v>9.0000000000000107</v>
      </c>
      <c r="C98" s="6">
        <v>4.9000000000000004</v>
      </c>
      <c r="D98" s="6">
        <v>11.6</v>
      </c>
      <c r="E98" s="6">
        <v>0.236734693877551</v>
      </c>
    </row>
    <row r="99" spans="2:5" x14ac:dyDescent="0.25">
      <c r="B99" s="6">
        <v>9.1000000000000103</v>
      </c>
      <c r="C99" s="6">
        <v>3.01</v>
      </c>
      <c r="D99" s="6">
        <v>21.5</v>
      </c>
      <c r="E99" s="6">
        <v>0.7142857142857143</v>
      </c>
    </row>
    <row r="100" spans="2:5" x14ac:dyDescent="0.25">
      <c r="B100" s="6">
        <v>9.2000000000000206</v>
      </c>
      <c r="C100" s="6">
        <v>0.9</v>
      </c>
      <c r="D100" s="6">
        <v>22.4</v>
      </c>
      <c r="E100" s="6">
        <v>2.4888888888888885</v>
      </c>
    </row>
    <row r="101" spans="2:5" x14ac:dyDescent="0.25">
      <c r="B101" s="6">
        <v>9.3000000000000203</v>
      </c>
      <c r="C101" s="6">
        <v>0.5</v>
      </c>
      <c r="D101" s="6">
        <v>10.6</v>
      </c>
      <c r="E101" s="6">
        <v>2.12</v>
      </c>
    </row>
    <row r="102" spans="2:5" x14ac:dyDescent="0.25">
      <c r="B102" s="6">
        <v>9.4000000000000199</v>
      </c>
      <c r="C102" s="6">
        <v>0.45</v>
      </c>
      <c r="D102" s="6">
        <v>9.3000000000000007</v>
      </c>
      <c r="E102" s="6">
        <v>2.0666666666666669</v>
      </c>
    </row>
    <row r="103" spans="2:5" x14ac:dyDescent="0.25">
      <c r="B103" s="6">
        <v>9.5000000000000195</v>
      </c>
      <c r="C103" s="6">
        <v>0.44</v>
      </c>
      <c r="D103" s="6">
        <v>8.4</v>
      </c>
      <c r="E103" s="6">
        <v>1.9090909090909092</v>
      </c>
    </row>
    <row r="104" spans="2:5" x14ac:dyDescent="0.25">
      <c r="B104" s="6">
        <v>9.6000000000000192</v>
      </c>
      <c r="C104" s="6">
        <v>0.4</v>
      </c>
      <c r="D104" s="6">
        <v>8.8000000000000007</v>
      </c>
      <c r="E104" s="6">
        <v>2.2000000000000002</v>
      </c>
    </row>
    <row r="105" spans="2:5" x14ac:dyDescent="0.25">
      <c r="B105" s="6">
        <v>9.7000000000000206</v>
      </c>
      <c r="C105" s="6">
        <v>0.38</v>
      </c>
      <c r="D105" s="6">
        <v>8.8000000000000007</v>
      </c>
      <c r="E105" s="6">
        <v>2.3157894736842106</v>
      </c>
    </row>
    <row r="106" spans="2:5" x14ac:dyDescent="0.25">
      <c r="B106" s="6">
        <v>9.8000000000000203</v>
      </c>
      <c r="C106" s="6">
        <v>0.38</v>
      </c>
      <c r="D106" s="6">
        <v>8.9</v>
      </c>
      <c r="E106" s="6">
        <v>2.3421052631578951</v>
      </c>
    </row>
    <row r="107" spans="2:5" x14ac:dyDescent="0.25">
      <c r="B107" s="6">
        <v>9.9000000000000199</v>
      </c>
      <c r="C107" s="6">
        <v>0.37</v>
      </c>
      <c r="D107" s="6">
        <v>8.6999999999999993</v>
      </c>
      <c r="E107" s="6">
        <v>2.3513513513513513</v>
      </c>
    </row>
    <row r="108" spans="2:5" x14ac:dyDescent="0.25">
      <c r="B108" s="6">
        <v>10</v>
      </c>
      <c r="C108" s="6">
        <v>0.35</v>
      </c>
      <c r="D108" s="6">
        <v>8.1999999999999993</v>
      </c>
      <c r="E108" s="6">
        <v>2.342857142857143</v>
      </c>
    </row>
    <row r="109" spans="2:5" x14ac:dyDescent="0.25">
      <c r="B109" s="6">
        <v>10.1</v>
      </c>
      <c r="C109" s="6">
        <v>0.36</v>
      </c>
      <c r="D109" s="6">
        <v>8.6999999999999993</v>
      </c>
      <c r="E109" s="6">
        <v>2.416666666666667</v>
      </c>
    </row>
    <row r="110" spans="2:5" x14ac:dyDescent="0.25">
      <c r="B110" s="6">
        <v>10.199999999999999</v>
      </c>
      <c r="C110" s="6">
        <v>0.38</v>
      </c>
      <c r="D110" s="6">
        <v>8</v>
      </c>
      <c r="E110" s="6">
        <v>2.1052631578947367</v>
      </c>
    </row>
    <row r="111" spans="2:5" x14ac:dyDescent="0.25">
      <c r="B111" s="6">
        <v>10.3</v>
      </c>
      <c r="C111" s="6">
        <v>0.36</v>
      </c>
      <c r="D111" s="6">
        <v>7.9</v>
      </c>
      <c r="E111" s="6">
        <v>2.1944444444444446</v>
      </c>
    </row>
    <row r="112" spans="2:5" x14ac:dyDescent="0.25">
      <c r="B112" s="6">
        <v>10.4</v>
      </c>
      <c r="C112" s="6">
        <v>0.36</v>
      </c>
      <c r="D112" s="6">
        <v>7.5</v>
      </c>
      <c r="E112" s="6">
        <v>2.0833333333333335</v>
      </c>
    </row>
    <row r="113" spans="2:5" x14ac:dyDescent="0.25">
      <c r="B113" s="6">
        <v>10.5</v>
      </c>
      <c r="C113" s="6">
        <v>0.35</v>
      </c>
      <c r="D113" s="6">
        <v>7.1</v>
      </c>
      <c r="E113" s="6">
        <v>2.0285714285714285</v>
      </c>
    </row>
    <row r="114" spans="2:5" x14ac:dyDescent="0.25">
      <c r="B114" s="6">
        <v>10.6</v>
      </c>
      <c r="C114" s="6">
        <v>0.35</v>
      </c>
      <c r="D114" s="6">
        <v>7.2</v>
      </c>
      <c r="E114" s="6">
        <v>2.0571428571428574</v>
      </c>
    </row>
    <row r="115" spans="2:5" x14ac:dyDescent="0.25">
      <c r="B115" s="6">
        <v>10.7</v>
      </c>
      <c r="C115" s="6">
        <v>0.36</v>
      </c>
      <c r="D115" s="6">
        <v>7.7</v>
      </c>
      <c r="E115" s="6">
        <v>2.1388888888888888</v>
      </c>
    </row>
    <row r="116" spans="2:5" x14ac:dyDescent="0.25">
      <c r="B116" s="6">
        <v>10.8</v>
      </c>
      <c r="C116" s="6">
        <v>0.36</v>
      </c>
      <c r="D116" s="6">
        <v>8.1999999999999993</v>
      </c>
      <c r="E116" s="6">
        <v>2.2777777777777777</v>
      </c>
    </row>
    <row r="117" spans="2:5" x14ac:dyDescent="0.25">
      <c r="B117" s="6">
        <v>10.9</v>
      </c>
      <c r="C117" s="6">
        <v>0.38</v>
      </c>
      <c r="D117" s="6">
        <v>8.4</v>
      </c>
      <c r="E117" s="6">
        <v>2.2105263157894739</v>
      </c>
    </row>
    <row r="118" spans="2:5" x14ac:dyDescent="0.25">
      <c r="B118" s="6">
        <v>11</v>
      </c>
      <c r="C118" s="6">
        <v>0.37</v>
      </c>
      <c r="D118" s="6">
        <v>8.4</v>
      </c>
      <c r="E118" s="6">
        <v>2.2702702702702706</v>
      </c>
    </row>
    <row r="119" spans="2:5" x14ac:dyDescent="0.25">
      <c r="B119" s="6">
        <v>11.1</v>
      </c>
      <c r="C119" s="6">
        <v>0.38</v>
      </c>
      <c r="D119" s="6">
        <v>8.5</v>
      </c>
      <c r="E119" s="6">
        <v>2.236842105263158</v>
      </c>
    </row>
    <row r="120" spans="2:5" x14ac:dyDescent="0.25">
      <c r="B120" s="6">
        <v>11.2</v>
      </c>
      <c r="C120" s="6">
        <v>0.38</v>
      </c>
      <c r="D120" s="6">
        <v>9.6</v>
      </c>
      <c r="E120" s="6">
        <v>2.5263157894736841</v>
      </c>
    </row>
    <row r="121" spans="2:5" x14ac:dyDescent="0.25">
      <c r="B121" s="6">
        <v>11.3</v>
      </c>
      <c r="C121" s="6">
        <v>0.41</v>
      </c>
      <c r="D121" s="6">
        <v>9</v>
      </c>
      <c r="E121" s="6">
        <v>2.1951219512195124</v>
      </c>
    </row>
    <row r="122" spans="2:5" x14ac:dyDescent="0.25">
      <c r="B122" s="6">
        <v>11.4</v>
      </c>
      <c r="C122" s="6">
        <v>0.42</v>
      </c>
      <c r="D122" s="6">
        <v>8.9</v>
      </c>
      <c r="E122" s="6">
        <v>2.1190476190476195</v>
      </c>
    </row>
    <row r="123" spans="2:5" x14ac:dyDescent="0.25">
      <c r="B123" s="6">
        <v>11.5</v>
      </c>
      <c r="C123" s="6">
        <v>0.41</v>
      </c>
      <c r="D123" s="6">
        <v>8.6</v>
      </c>
      <c r="E123" s="6">
        <v>2.0975609756097562</v>
      </c>
    </row>
    <row r="124" spans="2:5" x14ac:dyDescent="0.25">
      <c r="B124" s="6">
        <v>11.6</v>
      </c>
      <c r="C124" s="6">
        <v>0.4</v>
      </c>
      <c r="D124" s="6">
        <v>8.6</v>
      </c>
      <c r="E124" s="6">
        <v>2.15</v>
      </c>
    </row>
    <row r="125" spans="2:5" x14ac:dyDescent="0.25">
      <c r="B125" s="6">
        <v>11.7</v>
      </c>
      <c r="C125" s="6">
        <v>0.42</v>
      </c>
      <c r="D125" s="6">
        <v>9.1</v>
      </c>
      <c r="E125" s="6">
        <v>2.166666666666667</v>
      </c>
    </row>
    <row r="126" spans="2:5" x14ac:dyDescent="0.25">
      <c r="B126" s="6">
        <v>11.8</v>
      </c>
      <c r="C126" s="6">
        <v>0.43</v>
      </c>
      <c r="D126" s="6">
        <v>9.6999999999999993</v>
      </c>
      <c r="E126" s="6">
        <v>2.2558139534883721</v>
      </c>
    </row>
    <row r="127" spans="2:5" x14ac:dyDescent="0.25">
      <c r="B127" s="6">
        <v>11.9</v>
      </c>
      <c r="C127" s="6">
        <v>0.43</v>
      </c>
      <c r="D127" s="6">
        <v>9.8000000000000007</v>
      </c>
      <c r="E127" s="6">
        <v>2.2790697674418605</v>
      </c>
    </row>
    <row r="128" spans="2:5" x14ac:dyDescent="0.25">
      <c r="B128" s="6">
        <v>12</v>
      </c>
      <c r="C128" s="6">
        <v>0.44</v>
      </c>
      <c r="D128" s="6">
        <v>9.9</v>
      </c>
      <c r="E128" s="6">
        <v>2.25</v>
      </c>
    </row>
    <row r="129" spans="2:5" x14ac:dyDescent="0.25">
      <c r="B129" s="6">
        <v>12.1</v>
      </c>
      <c r="C129" s="6">
        <v>0.44</v>
      </c>
      <c r="D129" s="6">
        <v>10.6</v>
      </c>
      <c r="E129" s="6">
        <v>2.4090909090909092</v>
      </c>
    </row>
    <row r="130" spans="2:5" x14ac:dyDescent="0.25">
      <c r="B130" s="6">
        <v>12.2</v>
      </c>
      <c r="C130" s="6">
        <v>0.45</v>
      </c>
      <c r="D130" s="6">
        <v>10.1</v>
      </c>
      <c r="E130" s="6">
        <v>2.2444444444444445</v>
      </c>
    </row>
    <row r="131" spans="2:5" x14ac:dyDescent="0.25">
      <c r="B131" s="6">
        <v>12.3</v>
      </c>
      <c r="C131" s="6">
        <v>0.47</v>
      </c>
      <c r="D131" s="6">
        <v>10.199999999999999</v>
      </c>
      <c r="E131" s="6">
        <v>2.1702127659574471</v>
      </c>
    </row>
    <row r="132" spans="2:5" x14ac:dyDescent="0.25">
      <c r="B132" s="6">
        <v>12.4</v>
      </c>
      <c r="C132" s="6">
        <v>0.49</v>
      </c>
      <c r="D132" s="6">
        <v>10.8</v>
      </c>
      <c r="E132" s="6">
        <v>2.2040816326530615</v>
      </c>
    </row>
    <row r="133" spans="2:5" x14ac:dyDescent="0.25">
      <c r="B133" s="6">
        <v>12.5</v>
      </c>
      <c r="C133" s="6">
        <v>0.52</v>
      </c>
      <c r="D133" s="6">
        <v>11.5</v>
      </c>
      <c r="E133" s="6">
        <v>2.2115384615384617</v>
      </c>
    </row>
    <row r="134" spans="2:5" x14ac:dyDescent="0.25">
      <c r="B134" s="6">
        <v>12.6</v>
      </c>
      <c r="C134" s="6">
        <v>0.52</v>
      </c>
      <c r="D134" s="6">
        <v>11.5</v>
      </c>
      <c r="E134" s="6">
        <v>2.2115384615384617</v>
      </c>
    </row>
    <row r="135" spans="2:5" x14ac:dyDescent="0.25">
      <c r="B135" s="6">
        <v>12.7</v>
      </c>
      <c r="C135" s="6">
        <v>0.56999999999999995</v>
      </c>
      <c r="D135" s="6">
        <v>10.9</v>
      </c>
      <c r="E135" s="6">
        <v>1.9122807017543864</v>
      </c>
    </row>
    <row r="136" spans="2:5" x14ac:dyDescent="0.25">
      <c r="B136" s="6">
        <v>12.8</v>
      </c>
      <c r="C136" s="6">
        <v>0.68</v>
      </c>
      <c r="D136" s="6">
        <v>10.3</v>
      </c>
      <c r="E136" s="6">
        <v>1.5147058823529411</v>
      </c>
    </row>
    <row r="137" spans="2:5" x14ac:dyDescent="0.25">
      <c r="B137" s="6">
        <v>12.9</v>
      </c>
      <c r="C137" s="6">
        <v>0.7</v>
      </c>
      <c r="D137" s="6">
        <v>9</v>
      </c>
      <c r="E137" s="6">
        <v>1.2857142857142858</v>
      </c>
    </row>
    <row r="138" spans="2:5" x14ac:dyDescent="0.25">
      <c r="B138" s="6">
        <v>13</v>
      </c>
      <c r="C138" s="6">
        <v>0.56999999999999995</v>
      </c>
      <c r="D138" s="6">
        <v>10.5</v>
      </c>
      <c r="E138" s="6">
        <v>1.8421052631578949</v>
      </c>
    </row>
    <row r="139" spans="2:5" x14ac:dyDescent="0.25">
      <c r="B139" s="6">
        <v>13.1</v>
      </c>
      <c r="C139" s="6">
        <v>0.5</v>
      </c>
      <c r="D139" s="6">
        <v>12.8</v>
      </c>
      <c r="E139" s="6">
        <v>2.5600000000000005</v>
      </c>
    </row>
    <row r="140" spans="2:5" x14ac:dyDescent="0.25">
      <c r="B140" s="6">
        <v>13.2</v>
      </c>
      <c r="C140" s="6">
        <v>0.71</v>
      </c>
      <c r="D140" s="6">
        <v>14.8</v>
      </c>
      <c r="E140" s="6">
        <v>2.0845070422535215</v>
      </c>
    </row>
    <row r="141" spans="2:5" x14ac:dyDescent="0.25">
      <c r="B141" s="6">
        <v>13.3</v>
      </c>
      <c r="C141" s="6">
        <v>0.64</v>
      </c>
      <c r="D141" s="6">
        <v>19.2</v>
      </c>
      <c r="E141" s="6">
        <v>3</v>
      </c>
    </row>
    <row r="142" spans="2:5" x14ac:dyDescent="0.25">
      <c r="B142" s="6">
        <v>13.4</v>
      </c>
      <c r="C142" s="6">
        <v>0.88</v>
      </c>
      <c r="D142" s="6">
        <v>37.5</v>
      </c>
      <c r="E142" s="6">
        <v>4.2613636363636367</v>
      </c>
    </row>
    <row r="143" spans="2:5" x14ac:dyDescent="0.25">
      <c r="B143" s="6">
        <v>13.5</v>
      </c>
      <c r="C143" s="6">
        <v>1.26</v>
      </c>
      <c r="D143" s="6">
        <v>53.2</v>
      </c>
      <c r="E143" s="6">
        <v>4.2222222222222223</v>
      </c>
    </row>
    <row r="144" spans="2:5" x14ac:dyDescent="0.25">
      <c r="B144" s="6">
        <v>13.6</v>
      </c>
      <c r="C144" s="6">
        <v>1.1599999999999999</v>
      </c>
      <c r="D144" s="6">
        <v>54.5</v>
      </c>
      <c r="E144" s="6">
        <v>4.6982758620689662</v>
      </c>
    </row>
    <row r="145" spans="2:5" x14ac:dyDescent="0.25">
      <c r="B145" s="6">
        <v>13.7</v>
      </c>
      <c r="C145" s="6">
        <v>0.99</v>
      </c>
      <c r="D145" s="6">
        <v>55.4</v>
      </c>
      <c r="E145" s="6">
        <v>5.595959595959596</v>
      </c>
    </row>
    <row r="146" spans="2:5" x14ac:dyDescent="0.25">
      <c r="B146" s="6">
        <v>13.8</v>
      </c>
      <c r="C146" s="6">
        <v>0.93</v>
      </c>
      <c r="D146" s="6">
        <v>54.5</v>
      </c>
      <c r="E146" s="6">
        <v>5.860215053763441</v>
      </c>
    </row>
    <row r="147" spans="2:5" x14ac:dyDescent="0.25">
      <c r="B147" s="6">
        <v>13.9</v>
      </c>
      <c r="C147" s="6">
        <v>0.91</v>
      </c>
      <c r="D147" s="6">
        <v>53.5</v>
      </c>
      <c r="E147" s="6">
        <v>5.8791208791208796</v>
      </c>
    </row>
    <row r="148" spans="2:5" x14ac:dyDescent="0.25">
      <c r="B148" s="6">
        <v>14</v>
      </c>
      <c r="C148" s="6">
        <v>1.1599999999999999</v>
      </c>
      <c r="D148" s="6">
        <v>60.6</v>
      </c>
      <c r="E148" s="6">
        <v>5.224137931034484</v>
      </c>
    </row>
    <row r="149" spans="2:5" x14ac:dyDescent="0.25">
      <c r="B149" s="6">
        <v>14.1</v>
      </c>
      <c r="C149" s="6">
        <v>1.34</v>
      </c>
      <c r="D149" s="6">
        <v>73.7</v>
      </c>
      <c r="E149" s="6">
        <v>5.5</v>
      </c>
    </row>
    <row r="150" spans="2:5" x14ac:dyDescent="0.25">
      <c r="B150" s="6">
        <v>14.2</v>
      </c>
      <c r="C150" s="6">
        <v>1.69</v>
      </c>
      <c r="D150" s="6">
        <v>89.3</v>
      </c>
      <c r="E150" s="6">
        <v>5.2840236686390529</v>
      </c>
    </row>
    <row r="151" spans="2:5" x14ac:dyDescent="0.25">
      <c r="B151" s="6">
        <v>14.3</v>
      </c>
      <c r="C151" s="6">
        <v>1.58</v>
      </c>
      <c r="D151" s="6">
        <v>85.1</v>
      </c>
      <c r="E151" s="6">
        <v>5.386075949367088</v>
      </c>
    </row>
    <row r="152" spans="2:5" x14ac:dyDescent="0.25">
      <c r="B152" s="6">
        <v>14.4</v>
      </c>
      <c r="C152" s="6">
        <v>1.71</v>
      </c>
      <c r="D152" s="6">
        <v>93.1</v>
      </c>
      <c r="E152" s="6">
        <v>5.4444444444444446</v>
      </c>
    </row>
    <row r="153" spans="2:5" x14ac:dyDescent="0.25">
      <c r="B153" s="6">
        <v>14.5</v>
      </c>
      <c r="C153" s="6">
        <v>1.96</v>
      </c>
      <c r="D153" s="6">
        <v>100.3</v>
      </c>
      <c r="E153" s="6">
        <v>5.1173469387755111</v>
      </c>
    </row>
    <row r="154" spans="2:5" x14ac:dyDescent="0.25">
      <c r="B154" s="6">
        <v>14.6</v>
      </c>
      <c r="C154" s="6">
        <v>1.86</v>
      </c>
      <c r="D154" s="6">
        <v>98</v>
      </c>
      <c r="E154" s="6">
        <v>5.268817204301075</v>
      </c>
    </row>
    <row r="155" spans="2:5" x14ac:dyDescent="0.25">
      <c r="B155" s="6">
        <v>14.7</v>
      </c>
      <c r="C155" s="6">
        <v>1.74</v>
      </c>
      <c r="D155" s="6">
        <v>88.5</v>
      </c>
      <c r="E155" s="6">
        <v>5.0862068965517242</v>
      </c>
    </row>
    <row r="156" spans="2:5" x14ac:dyDescent="0.25">
      <c r="B156" s="6">
        <v>14.8000000000001</v>
      </c>
      <c r="C156" s="6">
        <v>1.76</v>
      </c>
      <c r="D156" s="6">
        <v>91.5</v>
      </c>
      <c r="E156" s="6">
        <v>5.1988636363636367</v>
      </c>
    </row>
    <row r="157" spans="2:5" x14ac:dyDescent="0.25">
      <c r="B157" s="6">
        <v>14.9</v>
      </c>
      <c r="C157" s="6">
        <v>1.66</v>
      </c>
      <c r="D157" s="6">
        <v>100.5</v>
      </c>
      <c r="E157" s="6">
        <v>6.0542168674698802</v>
      </c>
    </row>
    <row r="158" spans="2:5" x14ac:dyDescent="0.25">
      <c r="B158" s="6">
        <v>15</v>
      </c>
      <c r="C158" s="6">
        <v>1.68</v>
      </c>
      <c r="D158" s="6">
        <v>100.4</v>
      </c>
      <c r="E158" s="6">
        <v>5.9761904761904772</v>
      </c>
    </row>
    <row r="159" spans="2:5" x14ac:dyDescent="0.25">
      <c r="B159" s="6">
        <v>15.1</v>
      </c>
      <c r="C159" s="6">
        <v>1.62</v>
      </c>
      <c r="D159" s="6">
        <v>90.3</v>
      </c>
      <c r="E159" s="6">
        <v>5.5740740740740735</v>
      </c>
    </row>
    <row r="160" spans="2:5" x14ac:dyDescent="0.25">
      <c r="B160" s="6">
        <v>15.2</v>
      </c>
      <c r="C160" s="6">
        <v>1.53</v>
      </c>
      <c r="D160" s="6">
        <v>84.8</v>
      </c>
      <c r="E160" s="6">
        <v>5.5424836601307188</v>
      </c>
    </row>
    <row r="161" spans="2:5" x14ac:dyDescent="0.25">
      <c r="B161" s="6">
        <v>15.3</v>
      </c>
      <c r="C161" s="6">
        <v>1.44</v>
      </c>
      <c r="D161" s="6">
        <v>78</v>
      </c>
      <c r="E161" s="6">
        <v>5.416666666666667</v>
      </c>
    </row>
    <row r="162" spans="2:5" x14ac:dyDescent="0.25">
      <c r="B162" s="6">
        <v>15.4</v>
      </c>
      <c r="C162" s="6">
        <v>1.47</v>
      </c>
      <c r="D162" s="6">
        <v>69.599999999999994</v>
      </c>
      <c r="E162" s="6">
        <v>4.7346938775510203</v>
      </c>
    </row>
    <row r="163" spans="2:5" x14ac:dyDescent="0.25">
      <c r="B163" s="6">
        <v>15.5</v>
      </c>
      <c r="C163" s="6">
        <v>1.34</v>
      </c>
      <c r="D163" s="6">
        <v>60.8</v>
      </c>
      <c r="E163" s="6">
        <v>4.5373134328358207</v>
      </c>
    </row>
    <row r="164" spans="2:5" x14ac:dyDescent="0.25">
      <c r="B164" s="6">
        <v>15.6</v>
      </c>
      <c r="C164" s="6">
        <v>1.41</v>
      </c>
      <c r="D164" s="6">
        <v>62.7</v>
      </c>
      <c r="E164" s="6">
        <v>4.4468085106382986</v>
      </c>
    </row>
    <row r="165" spans="2:5" x14ac:dyDescent="0.25">
      <c r="B165" s="6">
        <v>15.7</v>
      </c>
      <c r="C165" s="6">
        <v>1.59</v>
      </c>
      <c r="D165" s="6">
        <v>72.7</v>
      </c>
      <c r="E165" s="6">
        <v>4.5723270440251573</v>
      </c>
    </row>
    <row r="166" spans="2:5" x14ac:dyDescent="0.25">
      <c r="B166" s="6">
        <v>15.8</v>
      </c>
      <c r="C166" s="6">
        <v>1.48</v>
      </c>
      <c r="D166" s="6">
        <v>72.2</v>
      </c>
      <c r="E166" s="6">
        <v>4.878378378378379</v>
      </c>
    </row>
    <row r="167" spans="2:5" x14ac:dyDescent="0.25">
      <c r="B167" s="6">
        <v>15.9</v>
      </c>
      <c r="C167" s="6">
        <v>1.3</v>
      </c>
      <c r="D167" s="6">
        <v>50.1</v>
      </c>
      <c r="E167" s="6">
        <v>3.8538461538461544</v>
      </c>
    </row>
    <row r="168" spans="2:5" x14ac:dyDescent="0.25">
      <c r="B168" s="6">
        <v>16</v>
      </c>
      <c r="C168" s="6">
        <v>1.08</v>
      </c>
      <c r="D168" s="6">
        <v>46.1</v>
      </c>
      <c r="E168" s="6">
        <v>4.2685185185185182</v>
      </c>
    </row>
    <row r="169" spans="2:5" x14ac:dyDescent="0.25">
      <c r="B169" s="6">
        <v>16.100000000000001</v>
      </c>
      <c r="C169" s="6">
        <v>1.05</v>
      </c>
      <c r="D169" s="6">
        <v>44.2</v>
      </c>
      <c r="E169" s="6">
        <v>4.2095238095238106</v>
      </c>
    </row>
    <row r="170" spans="2:5" x14ac:dyDescent="0.25">
      <c r="B170" s="6">
        <v>16.2</v>
      </c>
      <c r="C170" s="6">
        <v>1.01</v>
      </c>
      <c r="D170" s="6">
        <v>32.700000000000003</v>
      </c>
      <c r="E170" s="6">
        <v>3.2376237623762378</v>
      </c>
    </row>
    <row r="171" spans="2:5" x14ac:dyDescent="0.25">
      <c r="B171" s="6">
        <v>16.3</v>
      </c>
      <c r="C171" s="6">
        <v>0.93</v>
      </c>
      <c r="D171" s="6">
        <v>20.399999999999999</v>
      </c>
      <c r="E171" s="6">
        <v>2.193548387096774</v>
      </c>
    </row>
    <row r="172" spans="2:5" x14ac:dyDescent="0.25">
      <c r="B172" s="6">
        <v>16.399999999999999</v>
      </c>
      <c r="C172" s="6">
        <v>0.9</v>
      </c>
      <c r="D172" s="6">
        <v>16.899999999999999</v>
      </c>
      <c r="E172" s="6">
        <v>1.8777777777777778</v>
      </c>
    </row>
    <row r="173" spans="2:5" x14ac:dyDescent="0.25">
      <c r="B173" s="6">
        <v>16.5</v>
      </c>
      <c r="C173" s="6">
        <v>0.96</v>
      </c>
      <c r="D173" s="6">
        <v>16.600000000000001</v>
      </c>
      <c r="E173" s="6">
        <v>1.729166666666667</v>
      </c>
    </row>
    <row r="174" spans="2:5" x14ac:dyDescent="0.25">
      <c r="B174" s="6">
        <v>16.600000000000001</v>
      </c>
      <c r="C174" s="6">
        <v>0.99</v>
      </c>
      <c r="D174" s="6">
        <v>15.4</v>
      </c>
      <c r="E174" s="6">
        <v>1.5555555555555556</v>
      </c>
    </row>
    <row r="175" spans="2:5" x14ac:dyDescent="0.25">
      <c r="B175" s="6">
        <v>16.7</v>
      </c>
      <c r="C175" s="6">
        <v>0.85</v>
      </c>
      <c r="D175" s="6">
        <v>15.1</v>
      </c>
      <c r="E175" s="6">
        <v>1.7764705882352942</v>
      </c>
    </row>
    <row r="176" spans="2:5" x14ac:dyDescent="0.25">
      <c r="B176" s="6">
        <v>16.8</v>
      </c>
      <c r="C176" s="6">
        <v>0.93</v>
      </c>
      <c r="D176" s="6">
        <v>17.100000000000001</v>
      </c>
      <c r="E176" s="6">
        <v>1.838709677419355</v>
      </c>
    </row>
    <row r="177" spans="2:5" x14ac:dyDescent="0.25">
      <c r="B177" s="6">
        <v>16.899999999999999</v>
      </c>
      <c r="C177" s="6">
        <v>0.94</v>
      </c>
      <c r="D177" s="6">
        <v>16.899999999999999</v>
      </c>
      <c r="E177" s="6">
        <v>1.7978723404255319</v>
      </c>
    </row>
    <row r="178" spans="2:5" x14ac:dyDescent="0.25">
      <c r="B178" s="6">
        <v>17</v>
      </c>
      <c r="C178" s="6">
        <v>0.94</v>
      </c>
      <c r="D178" s="6">
        <v>15.1</v>
      </c>
      <c r="E178" s="6">
        <v>1.6063829787234043</v>
      </c>
    </row>
    <row r="179" spans="2:5" x14ac:dyDescent="0.25">
      <c r="B179" s="6">
        <v>17.100000000000001</v>
      </c>
      <c r="C179" s="6">
        <v>1.17</v>
      </c>
      <c r="D179" s="6">
        <v>13.5</v>
      </c>
      <c r="E179" s="6">
        <v>1.153846153846154</v>
      </c>
    </row>
    <row r="180" spans="2:5" x14ac:dyDescent="0.25">
      <c r="B180" s="6">
        <v>17.2</v>
      </c>
      <c r="C180" s="6">
        <v>1.35</v>
      </c>
      <c r="D180" s="6">
        <v>36</v>
      </c>
      <c r="E180" s="6">
        <v>2.6666666666666665</v>
      </c>
    </row>
    <row r="181" spans="2:5" x14ac:dyDescent="0.25">
      <c r="B181" s="6">
        <v>17.3</v>
      </c>
      <c r="C181" s="6">
        <v>1.01</v>
      </c>
      <c r="D181" s="6">
        <v>23.5</v>
      </c>
      <c r="E181" s="6">
        <v>2.3267326732673266</v>
      </c>
    </row>
    <row r="182" spans="2:5" x14ac:dyDescent="0.25">
      <c r="B182" s="6">
        <v>17.399999999999999</v>
      </c>
      <c r="C182" s="6">
        <v>1.93</v>
      </c>
      <c r="D182" s="6">
        <v>35.299999999999997</v>
      </c>
      <c r="E182" s="6">
        <v>1.8290155440414508</v>
      </c>
    </row>
    <row r="183" spans="2:5" x14ac:dyDescent="0.25">
      <c r="B183" s="6">
        <v>17.5</v>
      </c>
      <c r="C183" s="6">
        <v>2.04</v>
      </c>
      <c r="D183" s="6">
        <v>51.8</v>
      </c>
      <c r="E183" s="6">
        <v>2.5392156862745097</v>
      </c>
    </row>
    <row r="184" spans="2:5" x14ac:dyDescent="0.25">
      <c r="B184" s="6">
        <v>17.600000000000001</v>
      </c>
      <c r="C184" s="6">
        <v>2.21</v>
      </c>
      <c r="D184" s="6">
        <v>58.8</v>
      </c>
      <c r="E184" s="6">
        <v>2.6606334841628958</v>
      </c>
    </row>
    <row r="185" spans="2:5" x14ac:dyDescent="0.25">
      <c r="B185" s="6">
        <v>17.7</v>
      </c>
      <c r="C185" s="6">
        <v>2.19</v>
      </c>
      <c r="D185" s="6">
        <v>78.099999999999994</v>
      </c>
      <c r="E185" s="6">
        <v>3.5662100456621002</v>
      </c>
    </row>
    <row r="186" spans="2:5" x14ac:dyDescent="0.25">
      <c r="B186" s="6">
        <v>17.8</v>
      </c>
      <c r="C186" s="6">
        <v>1.73</v>
      </c>
      <c r="D186" s="6">
        <v>66.2</v>
      </c>
      <c r="E186" s="6">
        <v>3.8265895953757232</v>
      </c>
    </row>
    <row r="187" spans="2:5" x14ac:dyDescent="0.25">
      <c r="B187" s="6">
        <v>17.899999999999999</v>
      </c>
      <c r="C187" s="6">
        <v>1.83</v>
      </c>
      <c r="D187" s="6">
        <v>51.3</v>
      </c>
      <c r="E187" s="6">
        <v>2.8032786885245899</v>
      </c>
    </row>
    <row r="188" spans="2:5" x14ac:dyDescent="0.25">
      <c r="B188" s="6">
        <v>18</v>
      </c>
      <c r="C188" s="6">
        <v>2.38</v>
      </c>
      <c r="D188" s="6">
        <v>65.5</v>
      </c>
      <c r="E188" s="6">
        <v>2.7521008403361349</v>
      </c>
    </row>
    <row r="189" spans="2:5" x14ac:dyDescent="0.25">
      <c r="B189" s="6">
        <v>18.100000000000001</v>
      </c>
      <c r="C189" s="6">
        <v>2.5</v>
      </c>
      <c r="D189" s="6">
        <v>89.2</v>
      </c>
      <c r="E189" s="6">
        <v>3.5680000000000001</v>
      </c>
    </row>
    <row r="190" spans="2:5" x14ac:dyDescent="0.25">
      <c r="B190" s="6">
        <v>18.2</v>
      </c>
      <c r="C190" s="6">
        <v>2.95</v>
      </c>
      <c r="D190" s="6">
        <v>98.7</v>
      </c>
      <c r="E190" s="6">
        <v>3.3457627118644071</v>
      </c>
    </row>
    <row r="191" spans="2:5" x14ac:dyDescent="0.25">
      <c r="B191" s="6">
        <v>18.3</v>
      </c>
      <c r="C191" s="6">
        <v>2.8</v>
      </c>
      <c r="D191" s="6">
        <v>91.2</v>
      </c>
      <c r="E191" s="6">
        <v>3.2571428571428576</v>
      </c>
    </row>
    <row r="192" spans="2:5" x14ac:dyDescent="0.25">
      <c r="B192" s="6">
        <v>18.399999999999999</v>
      </c>
      <c r="C192" s="6">
        <v>2.5099999999999998</v>
      </c>
      <c r="D192" s="6">
        <v>79.8</v>
      </c>
      <c r="E192" s="6">
        <v>3.1792828685258967</v>
      </c>
    </row>
    <row r="193" spans="2:5" x14ac:dyDescent="0.25">
      <c r="B193" s="6">
        <v>18.5</v>
      </c>
      <c r="C193" s="6">
        <v>2.39</v>
      </c>
      <c r="D193" s="6">
        <v>68.099999999999994</v>
      </c>
      <c r="E193" s="6">
        <v>2.8493723849372383</v>
      </c>
    </row>
    <row r="194" spans="2:5" x14ac:dyDescent="0.25">
      <c r="B194" s="6">
        <v>18.600000000000001</v>
      </c>
      <c r="C194" s="6">
        <v>1.88</v>
      </c>
      <c r="D194" s="6">
        <v>59</v>
      </c>
      <c r="E194" s="6">
        <v>3.1382978723404258</v>
      </c>
    </row>
    <row r="195" spans="2:5" x14ac:dyDescent="0.25">
      <c r="B195" s="6">
        <v>18.7</v>
      </c>
      <c r="C195" s="6">
        <v>2.8</v>
      </c>
      <c r="D195" s="6">
        <v>95.1</v>
      </c>
      <c r="E195" s="6">
        <v>3.3964285714285714</v>
      </c>
    </row>
    <row r="196" spans="2:5" x14ac:dyDescent="0.25">
      <c r="B196" s="6">
        <v>18.8</v>
      </c>
      <c r="C196" s="6">
        <v>2.81</v>
      </c>
      <c r="D196" s="6">
        <v>102.9</v>
      </c>
      <c r="E196" s="6">
        <v>3.6619217081850537</v>
      </c>
    </row>
    <row r="197" spans="2:5" x14ac:dyDescent="0.25">
      <c r="B197" s="6">
        <v>18.899999999999999</v>
      </c>
      <c r="C197" s="6">
        <v>2.97</v>
      </c>
      <c r="D197" s="6">
        <v>101.5</v>
      </c>
      <c r="E197" s="6">
        <v>3.4175084175084174</v>
      </c>
    </row>
    <row r="198" spans="2:5" x14ac:dyDescent="0.25">
      <c r="B198" s="6">
        <v>19</v>
      </c>
      <c r="C198" s="6">
        <v>2.0299999999999998</v>
      </c>
      <c r="D198" s="6">
        <v>79.8</v>
      </c>
      <c r="E198" s="6">
        <v>3.9310344827586214</v>
      </c>
    </row>
    <row r="199" spans="2:5" x14ac:dyDescent="0.25">
      <c r="B199" s="6">
        <v>19.100000000000001</v>
      </c>
      <c r="C199" s="6">
        <v>2.66</v>
      </c>
      <c r="D199" s="6">
        <v>75.5</v>
      </c>
      <c r="E199" s="6">
        <v>2.8383458646616542</v>
      </c>
    </row>
    <row r="200" spans="2:5" x14ac:dyDescent="0.25">
      <c r="B200" s="6">
        <v>19.2</v>
      </c>
      <c r="C200" s="6">
        <v>3.03</v>
      </c>
      <c r="D200" s="6">
        <v>80.3</v>
      </c>
      <c r="E200" s="6">
        <v>2.6501650165016502</v>
      </c>
    </row>
    <row r="201" spans="2:5" x14ac:dyDescent="0.25">
      <c r="B201" s="6">
        <v>19.3</v>
      </c>
      <c r="C201" s="6">
        <v>2.34</v>
      </c>
      <c r="D201" s="6">
        <v>66.8</v>
      </c>
      <c r="E201" s="6">
        <v>2.8547008547008548</v>
      </c>
    </row>
    <row r="202" spans="2:5" x14ac:dyDescent="0.25">
      <c r="B202" s="6">
        <v>19.399999999999999</v>
      </c>
      <c r="C202" s="6">
        <v>2.27</v>
      </c>
      <c r="D202" s="6">
        <v>61.5</v>
      </c>
      <c r="E202" s="6">
        <v>2.7092511013215859</v>
      </c>
    </row>
    <row r="203" spans="2:5" x14ac:dyDescent="0.25">
      <c r="B203" s="6">
        <v>19.5</v>
      </c>
      <c r="C203" s="6">
        <v>2.74</v>
      </c>
      <c r="D203" s="6">
        <v>81.2</v>
      </c>
      <c r="E203" s="6">
        <v>2.9635036496350367</v>
      </c>
    </row>
    <row r="204" spans="2:5" x14ac:dyDescent="0.25">
      <c r="B204" s="6">
        <v>19.600000000000001</v>
      </c>
      <c r="C204" s="6">
        <v>1.97</v>
      </c>
      <c r="D204" s="6">
        <v>70</v>
      </c>
      <c r="E204" s="6">
        <v>3.5532994923857868</v>
      </c>
    </row>
    <row r="205" spans="2:5" x14ac:dyDescent="0.25">
      <c r="B205" s="6">
        <v>19.7</v>
      </c>
      <c r="C205" s="6">
        <v>2.64</v>
      </c>
      <c r="D205" s="6">
        <v>95.8</v>
      </c>
      <c r="E205" s="6">
        <v>3.6287878787878785</v>
      </c>
    </row>
    <row r="206" spans="2:5" x14ac:dyDescent="0.25">
      <c r="B206" s="6">
        <v>19.8</v>
      </c>
      <c r="C206" s="6">
        <v>3.11</v>
      </c>
      <c r="D206" s="6">
        <v>99.4</v>
      </c>
      <c r="E206" s="6">
        <v>3.1961414790996789</v>
      </c>
    </row>
    <row r="207" spans="2:5" x14ac:dyDescent="0.25">
      <c r="B207" s="6">
        <v>19.899999999999999</v>
      </c>
      <c r="C207" s="6">
        <v>3.51</v>
      </c>
      <c r="D207" s="6">
        <v>89.5</v>
      </c>
      <c r="E207" s="6">
        <v>2.5498575498575504</v>
      </c>
    </row>
    <row r="208" spans="2:5" x14ac:dyDescent="0.25">
      <c r="B208" s="6">
        <v>20</v>
      </c>
      <c r="C208" s="6">
        <v>4.75</v>
      </c>
      <c r="D208" s="6">
        <v>89.6</v>
      </c>
      <c r="E208" s="6">
        <v>1.8863157894736839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python_script">
                <anchor moveWithCells="1" sizeWithCells="1">
                  <from>
                    <xdr:col>5</xdr:col>
                    <xdr:colOff>638175</xdr:colOff>
                    <xdr:row>3</xdr:row>
                    <xdr:rowOff>95250</xdr:rowOff>
                  </from>
                  <to>
                    <xdr:col>9</xdr:col>
                    <xdr:colOff>447675</xdr:colOff>
                    <xdr:row>6</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9BFD3-9800-4170-9BD6-93388F469506}">
  <dimension ref="A1:H199"/>
  <sheetViews>
    <sheetView workbookViewId="0">
      <selection activeCell="H12" sqref="H12"/>
    </sheetView>
  </sheetViews>
  <sheetFormatPr defaultRowHeight="15.75" x14ac:dyDescent="0.25"/>
  <cols>
    <col min="1" max="1" width="9" style="10"/>
    <col min="2" max="2" width="8" style="10" bestFit="1" customWidth="1"/>
    <col min="3" max="3" width="6.875" style="10" bestFit="1" customWidth="1"/>
    <col min="4" max="4" width="5.875" style="10" bestFit="1" customWidth="1"/>
    <col min="5" max="5" width="11.875" style="10" bestFit="1" customWidth="1"/>
    <col min="6" max="6" width="32.5" style="10" bestFit="1" customWidth="1"/>
    <col min="7" max="7" width="11.875" style="10" bestFit="1" customWidth="1"/>
    <col min="8" max="8" width="9" style="10"/>
  </cols>
  <sheetData>
    <row r="1" spans="1:8" x14ac:dyDescent="0.25">
      <c r="A1" s="11"/>
      <c r="B1" s="11" t="s">
        <v>35</v>
      </c>
      <c r="C1" s="11" t="s">
        <v>38</v>
      </c>
      <c r="D1" s="11" t="s">
        <v>36</v>
      </c>
      <c r="E1" s="11" t="s">
        <v>37</v>
      </c>
      <c r="F1" s="11" t="s">
        <v>52</v>
      </c>
      <c r="G1" s="11" t="s">
        <v>53</v>
      </c>
      <c r="H1" s="11" t="s">
        <v>54</v>
      </c>
    </row>
    <row r="2" spans="1:8" x14ac:dyDescent="0.25">
      <c r="A2" s="10">
        <v>0</v>
      </c>
      <c r="B2" s="10">
        <v>0.3</v>
      </c>
      <c r="C2" s="10">
        <v>8.67</v>
      </c>
      <c r="D2" s="10">
        <v>41.4</v>
      </c>
      <c r="E2" s="10">
        <v>0.47750865051903113</v>
      </c>
      <c r="F2" s="10" t="s">
        <v>55</v>
      </c>
      <c r="G2" s="10">
        <v>1.7812021007931629</v>
      </c>
      <c r="H2" s="10">
        <v>6</v>
      </c>
    </row>
    <row r="3" spans="1:8" x14ac:dyDescent="0.25">
      <c r="A3" s="10">
        <v>1</v>
      </c>
      <c r="B3" s="10">
        <v>0.4</v>
      </c>
      <c r="C3" s="10">
        <v>9.9600000000000009</v>
      </c>
      <c r="D3" s="10">
        <v>51.1</v>
      </c>
      <c r="E3" s="10">
        <v>0.51305220883534131</v>
      </c>
      <c r="F3" s="10" t="s">
        <v>55</v>
      </c>
      <c r="G3" s="10">
        <v>1.7458752897474461</v>
      </c>
      <c r="H3" s="10">
        <v>6</v>
      </c>
    </row>
    <row r="4" spans="1:8" x14ac:dyDescent="0.25">
      <c r="A4" s="10">
        <v>2</v>
      </c>
      <c r="B4" s="10">
        <v>0.5</v>
      </c>
      <c r="C4" s="10">
        <v>9.39</v>
      </c>
      <c r="D4" s="10">
        <v>87.4</v>
      </c>
      <c r="E4" s="10">
        <v>0.93077742279020226</v>
      </c>
      <c r="F4" s="10" t="s">
        <v>55</v>
      </c>
      <c r="G4" s="10">
        <v>1.9163811732867215</v>
      </c>
      <c r="H4" s="10">
        <v>6</v>
      </c>
    </row>
    <row r="5" spans="1:8" x14ac:dyDescent="0.25">
      <c r="A5" s="10">
        <v>3</v>
      </c>
      <c r="B5" s="10">
        <v>0.6</v>
      </c>
      <c r="C5" s="10">
        <v>8.59</v>
      </c>
      <c r="D5" s="10">
        <v>103</v>
      </c>
      <c r="E5" s="10">
        <v>1.1990686845168801</v>
      </c>
      <c r="F5" s="10" t="s">
        <v>55</v>
      </c>
      <c r="G5" s="10">
        <v>2.0159134620257291</v>
      </c>
      <c r="H5" s="10">
        <v>6</v>
      </c>
    </row>
    <row r="6" spans="1:8" x14ac:dyDescent="0.25">
      <c r="A6" s="10">
        <v>4</v>
      </c>
      <c r="B6" s="10">
        <v>0.7</v>
      </c>
      <c r="C6" s="10">
        <v>9.42</v>
      </c>
      <c r="D6" s="10">
        <v>61.4</v>
      </c>
      <c r="E6" s="10">
        <v>0.65180467091295125</v>
      </c>
      <c r="F6" s="10" t="s">
        <v>55</v>
      </c>
      <c r="G6" s="10">
        <v>1.8232934052955325</v>
      </c>
      <c r="H6" s="10">
        <v>6</v>
      </c>
    </row>
    <row r="7" spans="1:8" x14ac:dyDescent="0.25">
      <c r="A7" s="10">
        <v>5</v>
      </c>
      <c r="B7" s="10">
        <v>0.8</v>
      </c>
      <c r="C7" s="10">
        <v>9.99</v>
      </c>
      <c r="D7" s="10">
        <v>55.4</v>
      </c>
      <c r="E7" s="10">
        <v>0.5545545545545546</v>
      </c>
      <c r="F7" s="10" t="s">
        <v>55</v>
      </c>
      <c r="G7" s="10">
        <v>1.7630118291272412</v>
      </c>
      <c r="H7" s="10">
        <v>6</v>
      </c>
    </row>
    <row r="8" spans="1:8" x14ac:dyDescent="0.25">
      <c r="A8" s="10">
        <v>6</v>
      </c>
      <c r="B8" s="10">
        <v>0.9</v>
      </c>
      <c r="C8" s="10">
        <v>7.45</v>
      </c>
      <c r="D8" s="10">
        <v>55.6</v>
      </c>
      <c r="E8" s="10">
        <v>0.74630872483221478</v>
      </c>
      <c r="F8" s="10" t="s">
        <v>55</v>
      </c>
      <c r="G8" s="10">
        <v>1.9405866772081388</v>
      </c>
      <c r="H8" s="10">
        <v>6</v>
      </c>
    </row>
    <row r="9" spans="1:8" x14ac:dyDescent="0.25">
      <c r="A9" s="10">
        <v>7</v>
      </c>
      <c r="B9" s="10">
        <v>1</v>
      </c>
      <c r="C9" s="10">
        <v>5.78</v>
      </c>
      <c r="D9" s="10">
        <v>75.5</v>
      </c>
      <c r="E9" s="10">
        <v>1.3062283737024223</v>
      </c>
      <c r="F9" s="10" t="s">
        <v>56</v>
      </c>
      <c r="G9" s="10">
        <v>2.1730207161285819</v>
      </c>
      <c r="H9" s="10">
        <v>5</v>
      </c>
    </row>
    <row r="10" spans="1:8" x14ac:dyDescent="0.25">
      <c r="A10" s="10">
        <v>8</v>
      </c>
      <c r="B10" s="10">
        <v>1.1000000000000001</v>
      </c>
      <c r="C10" s="10">
        <v>5.57</v>
      </c>
      <c r="D10" s="10">
        <v>52.8</v>
      </c>
      <c r="E10" s="10">
        <v>0.94793536804308798</v>
      </c>
      <c r="F10" s="10" t="s">
        <v>56</v>
      </c>
      <c r="G10" s="10">
        <v>2.1034970513687936</v>
      </c>
      <c r="H10" s="10">
        <v>5</v>
      </c>
    </row>
    <row r="11" spans="1:8" x14ac:dyDescent="0.25">
      <c r="A11" s="10">
        <v>9</v>
      </c>
      <c r="B11" s="10">
        <v>1.2</v>
      </c>
      <c r="C11" s="10">
        <v>5.67</v>
      </c>
      <c r="D11" s="10">
        <v>34.700000000000003</v>
      </c>
      <c r="E11" s="10">
        <v>0.61199294532627879</v>
      </c>
      <c r="F11" s="10" t="s">
        <v>55</v>
      </c>
      <c r="G11" s="10">
        <v>1.9948138565003162</v>
      </c>
      <c r="H11" s="10">
        <v>6</v>
      </c>
    </row>
    <row r="12" spans="1:8" x14ac:dyDescent="0.25">
      <c r="A12" s="10">
        <v>10</v>
      </c>
      <c r="B12" s="10">
        <v>1.3</v>
      </c>
      <c r="C12" s="10">
        <v>5.6</v>
      </c>
      <c r="D12" s="10">
        <v>30.6</v>
      </c>
      <c r="E12" s="10">
        <v>0.5464285714285716</v>
      </c>
      <c r="F12" s="10" t="s">
        <v>55</v>
      </c>
      <c r="G12" s="10">
        <v>1.9751519497271648</v>
      </c>
      <c r="H12" s="10">
        <v>6</v>
      </c>
    </row>
    <row r="13" spans="1:8" x14ac:dyDescent="0.25">
      <c r="A13" s="10">
        <v>11</v>
      </c>
      <c r="B13" s="10">
        <v>1.4</v>
      </c>
      <c r="C13" s="10">
        <v>5.26</v>
      </c>
      <c r="D13" s="10">
        <v>20.3</v>
      </c>
      <c r="E13" s="10">
        <v>0.3859315589353613</v>
      </c>
      <c r="F13" s="10" t="s">
        <v>55</v>
      </c>
      <c r="G13" s="10">
        <v>1.9312015104500249</v>
      </c>
      <c r="H13" s="10">
        <v>6</v>
      </c>
    </row>
    <row r="14" spans="1:8" x14ac:dyDescent="0.25">
      <c r="A14" s="10">
        <v>12</v>
      </c>
      <c r="B14" s="10">
        <v>1.5</v>
      </c>
      <c r="C14" s="10">
        <v>4.12</v>
      </c>
      <c r="D14" s="10">
        <v>20.3</v>
      </c>
      <c r="E14" s="10">
        <v>0.49271844660194181</v>
      </c>
      <c r="F14" s="10" t="s">
        <v>56</v>
      </c>
      <c r="G14" s="10">
        <v>2.0725552913355902</v>
      </c>
      <c r="H14" s="10">
        <v>5</v>
      </c>
    </row>
    <row r="15" spans="1:8" x14ac:dyDescent="0.25">
      <c r="A15" s="10">
        <v>13</v>
      </c>
      <c r="B15" s="10">
        <v>1.6</v>
      </c>
      <c r="C15" s="10">
        <v>3</v>
      </c>
      <c r="D15" s="10">
        <v>13.6</v>
      </c>
      <c r="E15" s="10">
        <v>0.45333333333333337</v>
      </c>
      <c r="F15" s="10" t="s">
        <v>56</v>
      </c>
      <c r="G15" s="10">
        <v>2.1823132926843081</v>
      </c>
      <c r="H15" s="10">
        <v>5</v>
      </c>
    </row>
    <row r="16" spans="1:8" x14ac:dyDescent="0.25">
      <c r="A16" s="10">
        <v>14</v>
      </c>
      <c r="B16" s="10">
        <v>1.7</v>
      </c>
      <c r="C16" s="10">
        <v>0.91</v>
      </c>
      <c r="D16" s="10">
        <v>12.4</v>
      </c>
      <c r="E16" s="10">
        <v>1.3626373626373629</v>
      </c>
      <c r="F16" s="10" t="s">
        <v>57</v>
      </c>
      <c r="G16" s="10">
        <v>2.8579713331425807</v>
      </c>
      <c r="H16" s="10">
        <v>4</v>
      </c>
    </row>
    <row r="17" spans="1:8" x14ac:dyDescent="0.25">
      <c r="A17" s="10">
        <v>15</v>
      </c>
      <c r="B17" s="10">
        <v>1.8</v>
      </c>
      <c r="C17" s="10">
        <v>0.46</v>
      </c>
      <c r="D17" s="10">
        <v>34.700000000000003</v>
      </c>
      <c r="E17" s="10">
        <v>7.5434782608695663</v>
      </c>
      <c r="F17" s="10" t="s">
        <v>58</v>
      </c>
      <c r="G17" s="10">
        <v>3.5089234674005629</v>
      </c>
      <c r="H17" s="10">
        <v>3</v>
      </c>
    </row>
    <row r="18" spans="1:8" x14ac:dyDescent="0.25">
      <c r="A18" s="10">
        <v>16</v>
      </c>
      <c r="B18" s="10">
        <v>1.9</v>
      </c>
      <c r="C18" s="10">
        <v>8.24</v>
      </c>
      <c r="D18" s="10">
        <v>32.1</v>
      </c>
      <c r="E18" s="10">
        <v>0.38956310679611655</v>
      </c>
      <c r="F18" s="10" t="s">
        <v>55</v>
      </c>
      <c r="G18" s="10">
        <v>1.7578337173951444</v>
      </c>
      <c r="H18" s="10">
        <v>6</v>
      </c>
    </row>
    <row r="19" spans="1:8" x14ac:dyDescent="0.25">
      <c r="A19" s="10">
        <v>17</v>
      </c>
      <c r="B19" s="10">
        <v>2</v>
      </c>
      <c r="C19" s="10">
        <v>12.16</v>
      </c>
      <c r="D19" s="10">
        <v>31.7</v>
      </c>
      <c r="E19" s="10">
        <v>0.26069078947368418</v>
      </c>
      <c r="F19" s="10" t="s">
        <v>55</v>
      </c>
      <c r="G19" s="10">
        <v>1.5293571680129403</v>
      </c>
      <c r="H19" s="10">
        <v>6</v>
      </c>
    </row>
    <row r="20" spans="1:8" x14ac:dyDescent="0.25">
      <c r="A20" s="10">
        <v>18</v>
      </c>
      <c r="B20" s="10">
        <v>2.1</v>
      </c>
      <c r="C20" s="10">
        <v>12.58</v>
      </c>
      <c r="D20" s="10">
        <v>32.1</v>
      </c>
      <c r="E20" s="10">
        <v>0.25516693163751991</v>
      </c>
      <c r="F20" s="10" t="s">
        <v>55</v>
      </c>
      <c r="G20" s="10">
        <v>1.5120793007798874</v>
      </c>
      <c r="H20" s="10">
        <v>6</v>
      </c>
    </row>
    <row r="21" spans="1:8" x14ac:dyDescent="0.25">
      <c r="A21" s="10">
        <v>19</v>
      </c>
      <c r="B21" s="10">
        <v>2.2000000000000002</v>
      </c>
      <c r="C21" s="10">
        <v>10.32</v>
      </c>
      <c r="D21" s="10">
        <v>35.700000000000003</v>
      </c>
      <c r="E21" s="10">
        <v>0.34593023255813954</v>
      </c>
      <c r="F21" s="10" t="s">
        <v>55</v>
      </c>
      <c r="G21" s="10">
        <v>1.6473055311274607</v>
      </c>
      <c r="H21" s="10">
        <v>6</v>
      </c>
    </row>
    <row r="22" spans="1:8" x14ac:dyDescent="0.25">
      <c r="A22" s="10">
        <v>20</v>
      </c>
      <c r="B22" s="10">
        <v>2.2999999999999998</v>
      </c>
      <c r="C22" s="10">
        <v>9.76</v>
      </c>
      <c r="D22" s="10">
        <v>27.8</v>
      </c>
      <c r="E22" s="10">
        <v>0.2848360655737705</v>
      </c>
      <c r="F22" s="10" t="s">
        <v>55</v>
      </c>
      <c r="G22" s="10">
        <v>1.6321970989588308</v>
      </c>
      <c r="H22" s="10">
        <v>6</v>
      </c>
    </row>
    <row r="23" spans="1:8" x14ac:dyDescent="0.25">
      <c r="A23" s="10">
        <v>21</v>
      </c>
      <c r="B23" s="10">
        <v>2.4</v>
      </c>
      <c r="C23" s="10">
        <v>9.2799999999999994</v>
      </c>
      <c r="D23" s="10">
        <v>17</v>
      </c>
      <c r="E23" s="10">
        <v>0.18318965517241381</v>
      </c>
      <c r="F23" s="10" t="s">
        <v>55</v>
      </c>
      <c r="G23" s="10">
        <v>1.5835927374289589</v>
      </c>
      <c r="H23" s="10">
        <v>6</v>
      </c>
    </row>
    <row r="24" spans="1:8" x14ac:dyDescent="0.25">
      <c r="A24" s="10">
        <v>22</v>
      </c>
      <c r="B24" s="10">
        <v>2.5</v>
      </c>
      <c r="C24" s="10">
        <v>8.2200000000000006</v>
      </c>
      <c r="D24" s="10">
        <v>23.4</v>
      </c>
      <c r="E24" s="10">
        <v>0.28467153284671531</v>
      </c>
      <c r="F24" s="10" t="s">
        <v>55</v>
      </c>
      <c r="G24" s="10">
        <v>1.7002871398068558</v>
      </c>
      <c r="H24" s="10">
        <v>6</v>
      </c>
    </row>
    <row r="25" spans="1:8" x14ac:dyDescent="0.25">
      <c r="A25" s="10">
        <v>23</v>
      </c>
      <c r="B25" s="10">
        <v>2.6</v>
      </c>
      <c r="C25" s="10">
        <v>7.21</v>
      </c>
      <c r="D25" s="10">
        <v>12.2</v>
      </c>
      <c r="E25" s="10">
        <v>0.16920943134535368</v>
      </c>
      <c r="F25" s="10" t="s">
        <v>55</v>
      </c>
      <c r="G25" s="10">
        <v>1.6787796401850386</v>
      </c>
      <c r="H25" s="10">
        <v>6</v>
      </c>
    </row>
    <row r="26" spans="1:8" x14ac:dyDescent="0.25">
      <c r="A26" s="10">
        <v>24</v>
      </c>
      <c r="B26" s="10">
        <v>2.7</v>
      </c>
      <c r="C26" s="10">
        <v>6.08</v>
      </c>
      <c r="D26" s="10">
        <v>11.8</v>
      </c>
      <c r="E26" s="10">
        <v>0.19407894736842107</v>
      </c>
      <c r="F26" s="10" t="s">
        <v>55</v>
      </c>
      <c r="G26" s="10">
        <v>1.7664295690609946</v>
      </c>
      <c r="H26" s="10">
        <v>6</v>
      </c>
    </row>
    <row r="27" spans="1:8" x14ac:dyDescent="0.25">
      <c r="A27" s="10">
        <v>25</v>
      </c>
      <c r="B27" s="10">
        <v>2.8</v>
      </c>
      <c r="C27" s="10">
        <v>6.77</v>
      </c>
      <c r="D27" s="10">
        <v>12.8</v>
      </c>
      <c r="E27" s="10">
        <v>0.18906942392909901</v>
      </c>
      <c r="F27" s="10" t="s">
        <v>55</v>
      </c>
      <c r="G27" s="10">
        <v>1.7184524048708933</v>
      </c>
      <c r="H27" s="10">
        <v>6</v>
      </c>
    </row>
    <row r="28" spans="1:8" x14ac:dyDescent="0.25">
      <c r="A28" s="10">
        <v>26</v>
      </c>
      <c r="B28" s="10">
        <v>2.9</v>
      </c>
      <c r="C28" s="10">
        <v>6.75</v>
      </c>
      <c r="D28" s="10">
        <v>11.5</v>
      </c>
      <c r="E28" s="10">
        <v>0.17037037037037039</v>
      </c>
      <c r="F28" s="10" t="s">
        <v>55</v>
      </c>
      <c r="G28" s="10">
        <v>1.7071707127693396</v>
      </c>
      <c r="H28" s="10">
        <v>6</v>
      </c>
    </row>
    <row r="29" spans="1:8" x14ac:dyDescent="0.25">
      <c r="A29" s="10">
        <v>27</v>
      </c>
      <c r="B29" s="10">
        <v>3</v>
      </c>
      <c r="C29" s="10">
        <v>5.54</v>
      </c>
      <c r="D29" s="10">
        <v>13.8</v>
      </c>
      <c r="E29" s="10">
        <v>0.24909747292418774</v>
      </c>
      <c r="F29" s="10" t="s">
        <v>55</v>
      </c>
      <c r="G29" s="10">
        <v>1.8386004742377402</v>
      </c>
      <c r="H29" s="10">
        <v>6</v>
      </c>
    </row>
    <row r="30" spans="1:8" x14ac:dyDescent="0.25">
      <c r="A30" s="10">
        <v>28</v>
      </c>
      <c r="B30" s="10">
        <v>3.1</v>
      </c>
      <c r="C30" s="10">
        <v>6.02</v>
      </c>
      <c r="D30" s="10">
        <v>14.9</v>
      </c>
      <c r="E30" s="10">
        <v>0.24750830564784057</v>
      </c>
      <c r="F30" s="10" t="s">
        <v>55</v>
      </c>
      <c r="G30" s="10">
        <v>1.8036950629245436</v>
      </c>
      <c r="H30" s="10">
        <v>6</v>
      </c>
    </row>
    <row r="31" spans="1:8" x14ac:dyDescent="0.25">
      <c r="A31" s="10">
        <v>29</v>
      </c>
      <c r="B31" s="10">
        <v>3.2</v>
      </c>
      <c r="C31" s="10">
        <v>4.8499999999999996</v>
      </c>
      <c r="D31" s="10">
        <v>14.4</v>
      </c>
      <c r="E31" s="10">
        <v>0.29690721649484542</v>
      </c>
      <c r="F31" s="10" t="s">
        <v>55</v>
      </c>
      <c r="G31" s="10">
        <v>1.9193054882028471</v>
      </c>
      <c r="H31" s="10">
        <v>6</v>
      </c>
    </row>
    <row r="32" spans="1:8" x14ac:dyDescent="0.25">
      <c r="A32" s="10">
        <v>30</v>
      </c>
      <c r="B32" s="10">
        <v>3.3</v>
      </c>
      <c r="C32" s="10">
        <v>3.8</v>
      </c>
      <c r="D32" s="10">
        <v>32.5</v>
      </c>
      <c r="E32" s="10">
        <v>0.85526315789473684</v>
      </c>
      <c r="F32" s="10" t="s">
        <v>56</v>
      </c>
      <c r="G32" s="10">
        <v>2.2185346216437396</v>
      </c>
      <c r="H32" s="10">
        <v>5</v>
      </c>
    </row>
    <row r="33" spans="1:8" x14ac:dyDescent="0.25">
      <c r="A33" s="10">
        <v>31</v>
      </c>
      <c r="B33" s="10">
        <v>3.4</v>
      </c>
      <c r="C33" s="10">
        <v>3.05</v>
      </c>
      <c r="D33" s="10">
        <v>33</v>
      </c>
      <c r="E33" s="10">
        <v>1.0819672131147542</v>
      </c>
      <c r="F33" s="10" t="s">
        <v>56</v>
      </c>
      <c r="G33" s="10">
        <v>2.3534642070835505</v>
      </c>
      <c r="H33" s="10">
        <v>5</v>
      </c>
    </row>
    <row r="34" spans="1:8" x14ac:dyDescent="0.25">
      <c r="A34" s="10">
        <v>32</v>
      </c>
      <c r="B34" s="10">
        <v>3.5</v>
      </c>
      <c r="C34" s="10">
        <v>4.32</v>
      </c>
      <c r="D34" s="10">
        <v>47.2</v>
      </c>
      <c r="E34" s="10">
        <v>1.0925925925925926</v>
      </c>
      <c r="F34" s="10" t="s">
        <v>56</v>
      </c>
      <c r="G34" s="10">
        <v>2.2293887438492677</v>
      </c>
      <c r="H34" s="10">
        <v>5</v>
      </c>
    </row>
    <row r="35" spans="1:8" x14ac:dyDescent="0.25">
      <c r="A35" s="10">
        <v>33</v>
      </c>
      <c r="B35" s="10">
        <v>3.6</v>
      </c>
      <c r="C35" s="10">
        <v>8.6300000000000008</v>
      </c>
      <c r="D35" s="10">
        <v>73.900000000000006</v>
      </c>
      <c r="E35" s="10">
        <v>0.85631517960602543</v>
      </c>
      <c r="F35" s="10" t="s">
        <v>55</v>
      </c>
      <c r="G35" s="10">
        <v>1.9233456049842268</v>
      </c>
      <c r="H35" s="10">
        <v>6</v>
      </c>
    </row>
    <row r="36" spans="1:8" x14ac:dyDescent="0.25">
      <c r="A36" s="10">
        <v>34</v>
      </c>
      <c r="B36" s="10">
        <v>3.7</v>
      </c>
      <c r="C36" s="10">
        <v>14.15</v>
      </c>
      <c r="D36" s="10">
        <v>76</v>
      </c>
      <c r="E36" s="10">
        <v>0.53710247349823326</v>
      </c>
      <c r="F36" s="10" t="s">
        <v>55</v>
      </c>
      <c r="G36" s="10">
        <v>1.6303766594618891</v>
      </c>
      <c r="H36" s="10">
        <v>6</v>
      </c>
    </row>
    <row r="37" spans="1:8" x14ac:dyDescent="0.25">
      <c r="A37" s="10">
        <v>35</v>
      </c>
      <c r="B37" s="10">
        <v>3.8</v>
      </c>
      <c r="C37" s="10">
        <v>14.11</v>
      </c>
      <c r="D37" s="10">
        <v>55.8</v>
      </c>
      <c r="E37" s="10">
        <v>0.39546420978029767</v>
      </c>
      <c r="F37" s="10" t="s">
        <v>55</v>
      </c>
      <c r="G37" s="10">
        <v>1.5577044018909361</v>
      </c>
      <c r="H37" s="10">
        <v>6</v>
      </c>
    </row>
    <row r="38" spans="1:8" x14ac:dyDescent="0.25">
      <c r="A38" s="10">
        <v>36</v>
      </c>
      <c r="B38" s="10">
        <v>3.9</v>
      </c>
      <c r="C38" s="10">
        <v>11.1</v>
      </c>
      <c r="D38" s="10">
        <v>75.8</v>
      </c>
      <c r="E38" s="10">
        <v>0.6828828828828829</v>
      </c>
      <c r="F38" s="10" t="s">
        <v>55</v>
      </c>
      <c r="G38" s="10">
        <v>1.7769839372329694</v>
      </c>
      <c r="H38" s="10">
        <v>6</v>
      </c>
    </row>
    <row r="39" spans="1:8" x14ac:dyDescent="0.25">
      <c r="A39" s="10">
        <v>37</v>
      </c>
      <c r="B39" s="10">
        <v>4</v>
      </c>
      <c r="C39" s="10">
        <v>8.82</v>
      </c>
      <c r="D39" s="10">
        <v>91.3</v>
      </c>
      <c r="E39" s="10">
        <v>1.0351473922902494</v>
      </c>
      <c r="F39" s="10" t="s">
        <v>55</v>
      </c>
      <c r="G39" s="10">
        <v>1.9664408051703746</v>
      </c>
      <c r="H39" s="10">
        <v>6</v>
      </c>
    </row>
    <row r="40" spans="1:8" x14ac:dyDescent="0.25">
      <c r="A40" s="10">
        <v>38</v>
      </c>
      <c r="B40" s="10">
        <v>4.0999999999999996</v>
      </c>
      <c r="C40" s="10">
        <v>8.08</v>
      </c>
      <c r="D40" s="10">
        <v>48.6</v>
      </c>
      <c r="E40" s="10">
        <v>0.60148514851485146</v>
      </c>
      <c r="F40" s="10" t="s">
        <v>55</v>
      </c>
      <c r="G40" s="10">
        <v>1.8595783877162015</v>
      </c>
      <c r="H40" s="10">
        <v>6</v>
      </c>
    </row>
    <row r="41" spans="1:8" x14ac:dyDescent="0.25">
      <c r="A41" s="10">
        <v>39</v>
      </c>
      <c r="B41" s="10">
        <v>4.2</v>
      </c>
      <c r="C41" s="10">
        <v>6.88</v>
      </c>
      <c r="D41" s="10">
        <v>26.9</v>
      </c>
      <c r="E41" s="10">
        <v>0.39098837209302323</v>
      </c>
      <c r="F41" s="10" t="s">
        <v>55</v>
      </c>
      <c r="G41" s="10">
        <v>1.8284075095311854</v>
      </c>
      <c r="H41" s="10">
        <v>6</v>
      </c>
    </row>
    <row r="42" spans="1:8" x14ac:dyDescent="0.25">
      <c r="A42" s="10">
        <v>40</v>
      </c>
      <c r="B42" s="10">
        <v>4.3</v>
      </c>
      <c r="C42" s="10">
        <v>4.2699999999999996</v>
      </c>
      <c r="D42" s="10">
        <v>48.6</v>
      </c>
      <c r="E42" s="10">
        <v>1.1381733021077285</v>
      </c>
      <c r="F42" s="10" t="s">
        <v>56</v>
      </c>
      <c r="G42" s="10">
        <v>2.2436127985584498</v>
      </c>
      <c r="H42" s="10">
        <v>5</v>
      </c>
    </row>
    <row r="43" spans="1:8" x14ac:dyDescent="0.25">
      <c r="A43" s="10">
        <v>41</v>
      </c>
      <c r="B43" s="10">
        <v>4.4000000000000004</v>
      </c>
      <c r="C43" s="10">
        <v>3.53</v>
      </c>
      <c r="D43" s="10">
        <v>19.2</v>
      </c>
      <c r="E43" s="10">
        <v>0.5439093484419264</v>
      </c>
      <c r="F43" s="10" t="s">
        <v>56</v>
      </c>
      <c r="G43" s="10">
        <v>2.1517413723834324</v>
      </c>
      <c r="H43" s="10">
        <v>5</v>
      </c>
    </row>
    <row r="44" spans="1:8" x14ac:dyDescent="0.25">
      <c r="A44" s="10">
        <v>42</v>
      </c>
      <c r="B44" s="10">
        <v>4.5</v>
      </c>
      <c r="C44" s="10">
        <v>3.66</v>
      </c>
      <c r="D44" s="10">
        <v>12</v>
      </c>
      <c r="E44" s="10">
        <v>0.32786885245901642</v>
      </c>
      <c r="F44" s="10" t="s">
        <v>55</v>
      </c>
      <c r="G44" s="10">
        <v>2.0488776042458032</v>
      </c>
      <c r="H44" s="10">
        <v>6</v>
      </c>
    </row>
    <row r="45" spans="1:8" x14ac:dyDescent="0.25">
      <c r="A45" s="10">
        <v>43</v>
      </c>
      <c r="B45" s="10">
        <v>4.5999999999999996</v>
      </c>
      <c r="C45" s="10">
        <v>3.66</v>
      </c>
      <c r="D45" s="10">
        <v>10.3</v>
      </c>
      <c r="E45" s="10">
        <v>0.28142076502732238</v>
      </c>
      <c r="F45" s="10" t="s">
        <v>55</v>
      </c>
      <c r="G45" s="10">
        <v>2.0260015676271981</v>
      </c>
      <c r="H45" s="10">
        <v>6</v>
      </c>
    </row>
    <row r="46" spans="1:8" x14ac:dyDescent="0.25">
      <c r="A46" s="10">
        <v>44</v>
      </c>
      <c r="B46" s="10">
        <v>4.7</v>
      </c>
      <c r="C46" s="10">
        <v>4.2300000000000004</v>
      </c>
      <c r="D46" s="10">
        <v>12</v>
      </c>
      <c r="E46" s="10">
        <v>0.28368794326241137</v>
      </c>
      <c r="F46" s="10" t="s">
        <v>55</v>
      </c>
      <c r="G46" s="10">
        <v>1.9679703614958972</v>
      </c>
      <c r="H46" s="10">
        <v>6</v>
      </c>
    </row>
    <row r="47" spans="1:8" x14ac:dyDescent="0.25">
      <c r="A47" s="10">
        <v>45</v>
      </c>
      <c r="B47" s="10">
        <v>4.8</v>
      </c>
      <c r="C47" s="10">
        <v>4.04</v>
      </c>
      <c r="D47" s="10">
        <v>23.6</v>
      </c>
      <c r="E47" s="10">
        <v>0.58415841584158423</v>
      </c>
      <c r="F47" s="10" t="s">
        <v>56</v>
      </c>
      <c r="G47" s="10">
        <v>2.113683270086915</v>
      </c>
      <c r="H47" s="10">
        <v>5</v>
      </c>
    </row>
    <row r="48" spans="1:8" x14ac:dyDescent="0.25">
      <c r="A48" s="10">
        <v>46</v>
      </c>
      <c r="B48" s="10">
        <v>4.9000000000000004</v>
      </c>
      <c r="C48" s="10">
        <v>3</v>
      </c>
      <c r="D48" s="10">
        <v>28.9</v>
      </c>
      <c r="E48" s="10">
        <v>0.96333333333333337</v>
      </c>
      <c r="F48" s="10" t="s">
        <v>56</v>
      </c>
      <c r="G48" s="10">
        <v>2.3331226880946505</v>
      </c>
      <c r="H48" s="10">
        <v>5</v>
      </c>
    </row>
    <row r="49" spans="1:8" x14ac:dyDescent="0.25">
      <c r="A49" s="10">
        <v>47</v>
      </c>
      <c r="B49" s="10">
        <v>5</v>
      </c>
      <c r="C49" s="10">
        <v>3.45</v>
      </c>
      <c r="D49" s="10">
        <v>29</v>
      </c>
      <c r="E49" s="10">
        <v>0.84057971014492761</v>
      </c>
      <c r="F49" s="10" t="s">
        <v>56</v>
      </c>
      <c r="G49" s="10">
        <v>2.2506682679835222</v>
      </c>
      <c r="H49" s="10">
        <v>5</v>
      </c>
    </row>
    <row r="50" spans="1:8" x14ac:dyDescent="0.25">
      <c r="A50" s="10">
        <v>48</v>
      </c>
      <c r="B50" s="10">
        <v>5.0999999999999996</v>
      </c>
      <c r="C50" s="10">
        <v>3.77</v>
      </c>
      <c r="D50" s="10">
        <v>23.6</v>
      </c>
      <c r="E50" s="10">
        <v>0.62599469496021232</v>
      </c>
      <c r="F50" s="10" t="s">
        <v>56</v>
      </c>
      <c r="G50" s="10">
        <v>2.1543078421500339</v>
      </c>
      <c r="H50" s="10">
        <v>5</v>
      </c>
    </row>
    <row r="51" spans="1:8" x14ac:dyDescent="0.25">
      <c r="A51" s="10">
        <v>49</v>
      </c>
      <c r="B51" s="10">
        <v>5.2</v>
      </c>
      <c r="C51" s="10">
        <v>2.98</v>
      </c>
      <c r="D51" s="10">
        <v>35</v>
      </c>
      <c r="E51" s="10">
        <v>1.174496644295302</v>
      </c>
      <c r="F51" s="10" t="s">
        <v>56</v>
      </c>
      <c r="G51" s="10">
        <v>2.3811176492292634</v>
      </c>
      <c r="H51" s="10">
        <v>5</v>
      </c>
    </row>
    <row r="52" spans="1:8" x14ac:dyDescent="0.25">
      <c r="A52" s="10">
        <v>50</v>
      </c>
      <c r="B52" s="10">
        <v>5.3</v>
      </c>
      <c r="C52" s="10">
        <v>2.27</v>
      </c>
      <c r="D52" s="10">
        <v>30.1</v>
      </c>
      <c r="E52" s="10">
        <v>1.3259911894273129</v>
      </c>
      <c r="F52" s="10" t="s">
        <v>56</v>
      </c>
      <c r="G52" s="10">
        <v>2.5090843476306506</v>
      </c>
      <c r="H52" s="10">
        <v>5</v>
      </c>
    </row>
    <row r="53" spans="1:8" x14ac:dyDescent="0.25">
      <c r="A53" s="10">
        <v>51</v>
      </c>
      <c r="B53" s="10">
        <v>5.4</v>
      </c>
      <c r="C53" s="10">
        <v>2.91</v>
      </c>
      <c r="D53" s="10">
        <v>21</v>
      </c>
      <c r="E53" s="10">
        <v>0.72164948453608246</v>
      </c>
      <c r="F53" s="10" t="s">
        <v>56</v>
      </c>
      <c r="G53" s="10">
        <v>2.2825910526089452</v>
      </c>
      <c r="H53" s="10">
        <v>5</v>
      </c>
    </row>
    <row r="54" spans="1:8" x14ac:dyDescent="0.25">
      <c r="A54" s="10">
        <v>52</v>
      </c>
      <c r="B54" s="10">
        <v>5.5</v>
      </c>
      <c r="C54" s="10">
        <v>1.74</v>
      </c>
      <c r="D54" s="10">
        <v>27.9</v>
      </c>
      <c r="E54" s="10">
        <v>1.603448275862069</v>
      </c>
      <c r="F54" s="10" t="s">
        <v>57</v>
      </c>
      <c r="G54" s="10">
        <v>2.6508026653112644</v>
      </c>
      <c r="H54" s="10">
        <v>4</v>
      </c>
    </row>
    <row r="55" spans="1:8" x14ac:dyDescent="0.25">
      <c r="A55" s="10">
        <v>53</v>
      </c>
      <c r="B55" s="10">
        <v>5.6</v>
      </c>
      <c r="C55" s="10">
        <v>3.31</v>
      </c>
      <c r="D55" s="10">
        <v>28.7</v>
      </c>
      <c r="E55" s="10">
        <v>0.86706948640483383</v>
      </c>
      <c r="F55" s="10" t="s">
        <v>56</v>
      </c>
      <c r="G55" s="10">
        <v>2.2730132271226671</v>
      </c>
      <c r="H55" s="10">
        <v>5</v>
      </c>
    </row>
    <row r="56" spans="1:8" x14ac:dyDescent="0.25">
      <c r="A56" s="10">
        <v>54</v>
      </c>
      <c r="B56" s="10">
        <v>5.7</v>
      </c>
      <c r="C56" s="10">
        <v>3.77</v>
      </c>
      <c r="D56" s="10">
        <v>31.6</v>
      </c>
      <c r="E56" s="10">
        <v>0.83819628647214861</v>
      </c>
      <c r="F56" s="10" t="s">
        <v>56</v>
      </c>
      <c r="G56" s="10">
        <v>2.2169496725261046</v>
      </c>
      <c r="H56" s="10">
        <v>5</v>
      </c>
    </row>
    <row r="57" spans="1:8" x14ac:dyDescent="0.25">
      <c r="A57" s="10">
        <v>55</v>
      </c>
      <c r="B57" s="10">
        <v>5.8</v>
      </c>
      <c r="C57" s="10">
        <v>5.64</v>
      </c>
      <c r="D57" s="10">
        <v>39</v>
      </c>
      <c r="E57" s="10">
        <v>0.69148936170212771</v>
      </c>
      <c r="F57" s="10" t="s">
        <v>55</v>
      </c>
      <c r="G57" s="10">
        <v>2.0240627542005813</v>
      </c>
      <c r="H57" s="10">
        <v>6</v>
      </c>
    </row>
    <row r="58" spans="1:8" x14ac:dyDescent="0.25">
      <c r="A58" s="10">
        <v>56</v>
      </c>
      <c r="B58" s="10">
        <v>5.9</v>
      </c>
      <c r="C58" s="10">
        <v>4.8</v>
      </c>
      <c r="D58" s="10">
        <v>32.700000000000003</v>
      </c>
      <c r="E58" s="10">
        <v>0.68125000000000013</v>
      </c>
      <c r="F58" s="10" t="s">
        <v>56</v>
      </c>
      <c r="G58" s="10">
        <v>2.080768244365403</v>
      </c>
      <c r="H58" s="10">
        <v>5</v>
      </c>
    </row>
    <row r="59" spans="1:8" x14ac:dyDescent="0.25">
      <c r="A59" s="10">
        <v>57</v>
      </c>
      <c r="B59" s="10">
        <v>6</v>
      </c>
      <c r="C59" s="10">
        <v>5.23</v>
      </c>
      <c r="D59" s="10">
        <v>18.5</v>
      </c>
      <c r="E59" s="10">
        <v>0.35372848948374758</v>
      </c>
      <c r="F59" s="10" t="s">
        <v>55</v>
      </c>
      <c r="G59" s="10">
        <v>1.9179827729190517</v>
      </c>
      <c r="H59" s="10">
        <v>6</v>
      </c>
    </row>
    <row r="60" spans="1:8" x14ac:dyDescent="0.25">
      <c r="A60" s="10">
        <v>58</v>
      </c>
      <c r="B60" s="10">
        <v>6.1</v>
      </c>
      <c r="C60" s="10">
        <v>2.19</v>
      </c>
      <c r="D60" s="10">
        <v>17.600000000000001</v>
      </c>
      <c r="E60" s="10">
        <v>0.80365296803652986</v>
      </c>
      <c r="F60" s="10" t="s">
        <v>56</v>
      </c>
      <c r="G60" s="10">
        <v>2.4135384579047701</v>
      </c>
      <c r="H60" s="10">
        <v>5</v>
      </c>
    </row>
    <row r="61" spans="1:8" x14ac:dyDescent="0.25">
      <c r="A61" s="10">
        <v>59</v>
      </c>
      <c r="B61" s="10">
        <v>6.2</v>
      </c>
      <c r="C61" s="10">
        <v>0.99</v>
      </c>
      <c r="D61" s="10">
        <v>21.9</v>
      </c>
      <c r="E61" s="10">
        <v>2.2121212121212119</v>
      </c>
      <c r="F61" s="10" t="s">
        <v>57</v>
      </c>
      <c r="G61" s="10">
        <v>2.9324786096181215</v>
      </c>
      <c r="H61" s="10">
        <v>4</v>
      </c>
    </row>
    <row r="62" spans="1:8" x14ac:dyDescent="0.25">
      <c r="A62" s="10">
        <v>60</v>
      </c>
      <c r="B62" s="10">
        <v>6.3</v>
      </c>
      <c r="C62" s="10">
        <v>0.6</v>
      </c>
      <c r="D62" s="10">
        <v>25.5</v>
      </c>
      <c r="E62" s="10">
        <v>4.2500000000000009</v>
      </c>
      <c r="F62" s="10" t="s">
        <v>58</v>
      </c>
      <c r="G62" s="10">
        <v>3.2700765310856337</v>
      </c>
      <c r="H62" s="10">
        <v>3</v>
      </c>
    </row>
    <row r="63" spans="1:8" x14ac:dyDescent="0.25">
      <c r="A63" s="10">
        <v>61</v>
      </c>
      <c r="B63" s="10">
        <v>6.4</v>
      </c>
      <c r="C63" s="10">
        <v>0.9</v>
      </c>
      <c r="D63" s="10">
        <v>23.6</v>
      </c>
      <c r="E63" s="10">
        <v>2.6222222222222227</v>
      </c>
      <c r="F63" s="10" t="s">
        <v>58</v>
      </c>
      <c r="G63" s="10">
        <v>3.0071696594969519</v>
      </c>
      <c r="H63" s="10">
        <v>3</v>
      </c>
    </row>
    <row r="64" spans="1:8" x14ac:dyDescent="0.25">
      <c r="A64" s="10">
        <v>62</v>
      </c>
      <c r="B64" s="10">
        <v>6.5</v>
      </c>
      <c r="C64" s="10">
        <v>1.1200000000000001</v>
      </c>
      <c r="D64" s="10">
        <v>22.5</v>
      </c>
      <c r="E64" s="10">
        <v>2.0089285714285712</v>
      </c>
      <c r="F64" s="10" t="s">
        <v>57</v>
      </c>
      <c r="G64" s="10">
        <v>2.8648414023121496</v>
      </c>
      <c r="H64" s="10">
        <v>4</v>
      </c>
    </row>
    <row r="65" spans="1:8" x14ac:dyDescent="0.25">
      <c r="A65" s="10">
        <v>63</v>
      </c>
      <c r="B65" s="10">
        <v>6.6</v>
      </c>
      <c r="C65" s="10">
        <v>0.91</v>
      </c>
      <c r="D65" s="10">
        <v>24.4</v>
      </c>
      <c r="E65" s="10">
        <v>2.6813186813186811</v>
      </c>
      <c r="F65" s="10" t="s">
        <v>58</v>
      </c>
      <c r="G65" s="10">
        <v>3.0084392504015627</v>
      </c>
      <c r="H65" s="10">
        <v>3</v>
      </c>
    </row>
    <row r="66" spans="1:8" x14ac:dyDescent="0.25">
      <c r="A66" s="10">
        <v>64</v>
      </c>
      <c r="B66" s="10">
        <v>6.7</v>
      </c>
      <c r="C66" s="10">
        <v>1</v>
      </c>
      <c r="D66" s="10">
        <v>22.9</v>
      </c>
      <c r="E66" s="10">
        <v>2.29</v>
      </c>
      <c r="F66" s="10" t="s">
        <v>57</v>
      </c>
      <c r="G66" s="10">
        <v>2.9368440367580679</v>
      </c>
      <c r="H66" s="10">
        <v>4</v>
      </c>
    </row>
    <row r="67" spans="1:8" x14ac:dyDescent="0.25">
      <c r="A67" s="10">
        <v>65</v>
      </c>
      <c r="B67" s="10">
        <v>6.8</v>
      </c>
      <c r="C67" s="10">
        <v>0.64</v>
      </c>
      <c r="D67" s="10">
        <v>15.6</v>
      </c>
      <c r="E67" s="10">
        <v>2.4375</v>
      </c>
      <c r="F67" s="10" t="s">
        <v>58</v>
      </c>
      <c r="G67" s="10">
        <v>3.1158781891647811</v>
      </c>
      <c r="H67" s="10">
        <v>3</v>
      </c>
    </row>
    <row r="68" spans="1:8" x14ac:dyDescent="0.25">
      <c r="A68" s="10">
        <v>66</v>
      </c>
      <c r="B68" s="10">
        <v>6.9</v>
      </c>
      <c r="C68" s="10">
        <v>0.42</v>
      </c>
      <c r="D68" s="10">
        <v>19.7</v>
      </c>
      <c r="E68" s="10">
        <v>4.6904761904761907</v>
      </c>
      <c r="F68" s="10" t="s">
        <v>58</v>
      </c>
      <c r="G68" s="10">
        <v>3.4224656786135306</v>
      </c>
      <c r="H68" s="10">
        <v>3</v>
      </c>
    </row>
    <row r="69" spans="1:8" x14ac:dyDescent="0.25">
      <c r="A69" s="10">
        <v>67</v>
      </c>
      <c r="B69" s="10">
        <v>7</v>
      </c>
      <c r="C69" s="10">
        <v>1.1399999999999999</v>
      </c>
      <c r="D69" s="10">
        <v>34.5</v>
      </c>
      <c r="E69" s="10">
        <v>3.0263157894736845</v>
      </c>
      <c r="F69" s="10" t="s">
        <v>58</v>
      </c>
      <c r="G69" s="10">
        <v>2.9569848833012999</v>
      </c>
      <c r="H69" s="10">
        <v>3</v>
      </c>
    </row>
    <row r="70" spans="1:8" x14ac:dyDescent="0.25">
      <c r="A70" s="10">
        <v>68</v>
      </c>
      <c r="B70" s="10">
        <v>7.1</v>
      </c>
      <c r="C70" s="10">
        <v>6.92</v>
      </c>
      <c r="D70" s="10">
        <v>34.1</v>
      </c>
      <c r="E70" s="10">
        <v>0.49277456647398848</v>
      </c>
      <c r="F70" s="10" t="s">
        <v>55</v>
      </c>
      <c r="G70" s="10">
        <v>1.8730052476481498</v>
      </c>
      <c r="H70" s="10">
        <v>6</v>
      </c>
    </row>
    <row r="71" spans="1:8" x14ac:dyDescent="0.25">
      <c r="A71" s="10">
        <v>69</v>
      </c>
      <c r="B71" s="10">
        <v>7.2</v>
      </c>
      <c r="C71" s="10">
        <v>7.76</v>
      </c>
      <c r="D71" s="10">
        <v>35.299999999999997</v>
      </c>
      <c r="E71" s="10">
        <v>0.45489690721649484</v>
      </c>
      <c r="F71" s="10" t="s">
        <v>55</v>
      </c>
      <c r="G71" s="10">
        <v>1.8126408754922625</v>
      </c>
      <c r="H71" s="10">
        <v>6</v>
      </c>
    </row>
    <row r="72" spans="1:8" x14ac:dyDescent="0.25">
      <c r="A72" s="10">
        <v>70</v>
      </c>
      <c r="B72" s="10">
        <v>7.3000000000000096</v>
      </c>
      <c r="C72" s="10">
        <v>7.64</v>
      </c>
      <c r="D72" s="10">
        <v>32.9</v>
      </c>
      <c r="E72" s="10">
        <v>0.4306282722513089</v>
      </c>
      <c r="F72" s="10" t="s">
        <v>55</v>
      </c>
      <c r="G72" s="10">
        <v>1.8071911842500974</v>
      </c>
      <c r="H72" s="10">
        <v>6</v>
      </c>
    </row>
    <row r="73" spans="1:8" x14ac:dyDescent="0.25">
      <c r="A73" s="10">
        <v>71</v>
      </c>
      <c r="B73" s="10">
        <v>7.4000000000000101</v>
      </c>
      <c r="C73" s="10">
        <v>7.36</v>
      </c>
      <c r="D73" s="10">
        <v>39.799999999999997</v>
      </c>
      <c r="E73" s="10">
        <v>0.54076086956521741</v>
      </c>
      <c r="F73" s="10" t="s">
        <v>55</v>
      </c>
      <c r="G73" s="10">
        <v>1.8699147840124144</v>
      </c>
      <c r="H73" s="10">
        <v>6</v>
      </c>
    </row>
    <row r="74" spans="1:8" x14ac:dyDescent="0.25">
      <c r="A74" s="10">
        <v>72</v>
      </c>
      <c r="B74" s="10">
        <v>7.5000000000000098</v>
      </c>
      <c r="C74" s="10">
        <v>8.84</v>
      </c>
      <c r="D74" s="10">
        <v>67.900000000000006</v>
      </c>
      <c r="E74" s="10">
        <v>0.76809954751131237</v>
      </c>
      <c r="F74" s="10" t="s">
        <v>55</v>
      </c>
      <c r="G74" s="10">
        <v>1.8869545076725527</v>
      </c>
      <c r="H74" s="10">
        <v>6</v>
      </c>
    </row>
    <row r="75" spans="1:8" x14ac:dyDescent="0.25">
      <c r="A75" s="10">
        <v>73</v>
      </c>
      <c r="B75" s="10">
        <v>7.6000000000000103</v>
      </c>
      <c r="C75" s="10">
        <v>9.09</v>
      </c>
      <c r="D75" s="10">
        <v>63.5</v>
      </c>
      <c r="E75" s="10">
        <v>0.69856985698569862</v>
      </c>
      <c r="F75" s="10" t="s">
        <v>55</v>
      </c>
      <c r="G75" s="10">
        <v>1.8531850937379915</v>
      </c>
      <c r="H75" s="10">
        <v>6</v>
      </c>
    </row>
    <row r="76" spans="1:8" x14ac:dyDescent="0.25">
      <c r="A76" s="10">
        <v>74</v>
      </c>
      <c r="B76" s="10">
        <v>7.7000000000000099</v>
      </c>
      <c r="C76" s="10">
        <v>10.130000000000001</v>
      </c>
      <c r="D76" s="10">
        <v>26.7</v>
      </c>
      <c r="E76" s="10">
        <v>0.26357354392892396</v>
      </c>
      <c r="F76" s="10" t="s">
        <v>55</v>
      </c>
      <c r="G76" s="10">
        <v>1.6037363313149469</v>
      </c>
      <c r="H76" s="10">
        <v>6</v>
      </c>
    </row>
    <row r="77" spans="1:8" x14ac:dyDescent="0.25">
      <c r="A77" s="10">
        <v>75</v>
      </c>
      <c r="B77" s="10">
        <v>7.8000000000000096</v>
      </c>
      <c r="C77" s="10">
        <v>9.06</v>
      </c>
      <c r="D77" s="10">
        <v>39</v>
      </c>
      <c r="E77" s="10">
        <v>0.43046357615894043</v>
      </c>
      <c r="F77" s="10" t="s">
        <v>55</v>
      </c>
      <c r="G77" s="10">
        <v>1.7422164517034671</v>
      </c>
      <c r="H77" s="10">
        <v>6</v>
      </c>
    </row>
    <row r="78" spans="1:8" x14ac:dyDescent="0.25">
      <c r="A78" s="10">
        <v>76</v>
      </c>
      <c r="B78" s="10">
        <v>7.9000000000000101</v>
      </c>
      <c r="C78" s="10">
        <v>7.9</v>
      </c>
      <c r="D78" s="10">
        <v>58.8</v>
      </c>
      <c r="E78" s="10">
        <v>0.7443037974683544</v>
      </c>
      <c r="F78" s="10" t="s">
        <v>55</v>
      </c>
      <c r="G78" s="10">
        <v>1.9189281153377677</v>
      </c>
      <c r="H78" s="10">
        <v>6</v>
      </c>
    </row>
    <row r="79" spans="1:8" x14ac:dyDescent="0.25">
      <c r="A79" s="10">
        <v>77</v>
      </c>
      <c r="B79" s="10">
        <v>8.0000000000000107</v>
      </c>
      <c r="C79" s="10">
        <v>9.8800000000000008</v>
      </c>
      <c r="D79" s="10">
        <v>40.200000000000003</v>
      </c>
      <c r="E79" s="10">
        <v>0.40688259109311742</v>
      </c>
      <c r="F79" s="10" t="s">
        <v>55</v>
      </c>
      <c r="G79" s="10">
        <v>1.69742762428274</v>
      </c>
      <c r="H79" s="10">
        <v>6</v>
      </c>
    </row>
    <row r="80" spans="1:8" x14ac:dyDescent="0.25">
      <c r="A80" s="10">
        <v>78</v>
      </c>
      <c r="B80" s="10">
        <v>8.1000000000000103</v>
      </c>
      <c r="C80" s="10">
        <v>8.75</v>
      </c>
      <c r="D80" s="10">
        <v>23.2</v>
      </c>
      <c r="E80" s="10">
        <v>0.26514285714285712</v>
      </c>
      <c r="F80" s="10" t="s">
        <v>55</v>
      </c>
      <c r="G80" s="10">
        <v>1.6632282969779277</v>
      </c>
      <c r="H80" s="10">
        <v>6</v>
      </c>
    </row>
    <row r="81" spans="1:8" x14ac:dyDescent="0.25">
      <c r="A81" s="10">
        <v>79</v>
      </c>
      <c r="B81" s="10">
        <v>8.2000000000000099</v>
      </c>
      <c r="C81" s="10">
        <v>4.33</v>
      </c>
      <c r="D81" s="10">
        <v>21.9</v>
      </c>
      <c r="E81" s="10">
        <v>0.50577367205542723</v>
      </c>
      <c r="F81" s="10" t="s">
        <v>56</v>
      </c>
      <c r="G81" s="10">
        <v>2.0582656202884508</v>
      </c>
      <c r="H81" s="10">
        <v>5</v>
      </c>
    </row>
    <row r="82" spans="1:8" x14ac:dyDescent="0.25">
      <c r="A82" s="10">
        <v>80</v>
      </c>
      <c r="B82" s="10">
        <v>8.3000000000000096</v>
      </c>
      <c r="C82" s="10">
        <v>0.86</v>
      </c>
      <c r="D82" s="10">
        <v>24</v>
      </c>
      <c r="E82" s="10">
        <v>2.7906976744186052</v>
      </c>
      <c r="F82" s="10" t="s">
        <v>58</v>
      </c>
      <c r="G82" s="10">
        <v>3.0384846293818706</v>
      </c>
      <c r="H82" s="10">
        <v>3</v>
      </c>
    </row>
    <row r="83" spans="1:8" x14ac:dyDescent="0.25">
      <c r="A83" s="10">
        <v>81</v>
      </c>
      <c r="B83" s="10">
        <v>8.4000000000000092</v>
      </c>
      <c r="C83" s="10">
        <v>1.03</v>
      </c>
      <c r="D83" s="10">
        <v>18.399999999999999</v>
      </c>
      <c r="E83" s="10">
        <v>1.7864077669902911</v>
      </c>
      <c r="F83" s="10" t="s">
        <v>57</v>
      </c>
      <c r="G83" s="10">
        <v>2.8692336538149275</v>
      </c>
      <c r="H83" s="10">
        <v>4</v>
      </c>
    </row>
    <row r="84" spans="1:8" x14ac:dyDescent="0.25">
      <c r="A84" s="10">
        <v>82</v>
      </c>
      <c r="B84" s="10">
        <v>8.5000000000000107</v>
      </c>
      <c r="C84" s="10">
        <v>1.43</v>
      </c>
      <c r="D84" s="10">
        <v>25.6</v>
      </c>
      <c r="E84" s="10">
        <v>1.7902097902097907</v>
      </c>
      <c r="F84" s="10" t="s">
        <v>57</v>
      </c>
      <c r="G84" s="10">
        <v>2.748383523685443</v>
      </c>
      <c r="H84" s="10">
        <v>4</v>
      </c>
    </row>
    <row r="85" spans="1:8" x14ac:dyDescent="0.25">
      <c r="A85" s="10">
        <v>83</v>
      </c>
      <c r="B85" s="10">
        <v>8.6000000000000103</v>
      </c>
      <c r="C85" s="10">
        <v>3.27</v>
      </c>
      <c r="D85" s="10">
        <v>28.6</v>
      </c>
      <c r="E85" s="10">
        <v>0.87461773700305823</v>
      </c>
      <c r="F85" s="10" t="s">
        <v>56</v>
      </c>
      <c r="G85" s="10">
        <v>2.2794747231101304</v>
      </c>
      <c r="H85" s="10">
        <v>5</v>
      </c>
    </row>
    <row r="86" spans="1:8" x14ac:dyDescent="0.25">
      <c r="A86" s="10">
        <v>84</v>
      </c>
      <c r="B86" s="10">
        <v>8.7000000000000099</v>
      </c>
      <c r="C86" s="10">
        <v>1.49</v>
      </c>
      <c r="D86" s="10">
        <v>35.299999999999997</v>
      </c>
      <c r="E86" s="10">
        <v>2.3691275167785233</v>
      </c>
      <c r="F86" s="10" t="s">
        <v>57</v>
      </c>
      <c r="G86" s="10">
        <v>2.8007781540821095</v>
      </c>
      <c r="H86" s="10">
        <v>4</v>
      </c>
    </row>
    <row r="87" spans="1:8" x14ac:dyDescent="0.25">
      <c r="A87" s="10">
        <v>85</v>
      </c>
      <c r="B87" s="10">
        <v>8.8000000000000096</v>
      </c>
      <c r="C87" s="10">
        <v>1.48</v>
      </c>
      <c r="D87" s="10">
        <v>46.5</v>
      </c>
      <c r="E87" s="10">
        <v>3.1418918918918921</v>
      </c>
      <c r="F87" s="10" t="s">
        <v>57</v>
      </c>
      <c r="G87" s="10">
        <v>2.8746944234678997</v>
      </c>
      <c r="H87" s="10">
        <v>4</v>
      </c>
    </row>
    <row r="88" spans="1:8" x14ac:dyDescent="0.25">
      <c r="A88" s="10">
        <v>86</v>
      </c>
      <c r="B88" s="10">
        <v>8.9000000000000092</v>
      </c>
      <c r="C88" s="10">
        <v>4.84</v>
      </c>
      <c r="D88" s="10">
        <v>25.1</v>
      </c>
      <c r="E88" s="10">
        <v>0.51859504132231415</v>
      </c>
      <c r="F88" s="10" t="s">
        <v>55</v>
      </c>
      <c r="G88" s="10">
        <v>2.0201791750205964</v>
      </c>
      <c r="H88" s="10">
        <v>6</v>
      </c>
    </row>
    <row r="89" spans="1:8" x14ac:dyDescent="0.25">
      <c r="A89" s="10">
        <v>87</v>
      </c>
      <c r="B89" s="10">
        <v>9.0000000000000107</v>
      </c>
      <c r="C89" s="10">
        <v>4.9000000000000004</v>
      </c>
      <c r="D89" s="10">
        <v>11.6</v>
      </c>
      <c r="E89" s="10">
        <v>0.236734693877551</v>
      </c>
      <c r="F89" s="10" t="s">
        <v>55</v>
      </c>
      <c r="G89" s="10">
        <v>1.8818158220966585</v>
      </c>
      <c r="H89" s="10">
        <v>6</v>
      </c>
    </row>
    <row r="90" spans="1:8" x14ac:dyDescent="0.25">
      <c r="A90" s="10">
        <v>88</v>
      </c>
      <c r="B90" s="10">
        <v>9.1000000000000103</v>
      </c>
      <c r="C90" s="10">
        <v>3.01</v>
      </c>
      <c r="D90" s="10">
        <v>21.5</v>
      </c>
      <c r="E90" s="10">
        <v>0.7142857142857143</v>
      </c>
      <c r="F90" s="10" t="s">
        <v>56</v>
      </c>
      <c r="G90" s="10">
        <v>2.267555861466255</v>
      </c>
      <c r="H90" s="10">
        <v>5</v>
      </c>
    </row>
    <row r="91" spans="1:8" x14ac:dyDescent="0.25">
      <c r="A91" s="10">
        <v>89</v>
      </c>
      <c r="B91" s="10">
        <v>9.2000000000000206</v>
      </c>
      <c r="C91" s="10">
        <v>0.9</v>
      </c>
      <c r="D91" s="10">
        <v>22.4</v>
      </c>
      <c r="E91" s="10">
        <v>2.4888888888888885</v>
      </c>
      <c r="F91" s="10" t="s">
        <v>58</v>
      </c>
      <c r="G91" s="10">
        <v>2.9948798735089608</v>
      </c>
      <c r="H91" s="10">
        <v>3</v>
      </c>
    </row>
    <row r="92" spans="1:8" x14ac:dyDescent="0.25">
      <c r="A92" s="10">
        <v>90</v>
      </c>
      <c r="B92" s="10">
        <v>9.3000000000000203</v>
      </c>
      <c r="C92" s="10">
        <v>0.5</v>
      </c>
      <c r="D92" s="10">
        <v>10.6</v>
      </c>
      <c r="E92" s="10">
        <v>2.12</v>
      </c>
      <c r="F92" s="10" t="s">
        <v>58</v>
      </c>
      <c r="G92" s="10">
        <v>3.1782819762043362</v>
      </c>
      <c r="H92" s="10">
        <v>3</v>
      </c>
    </row>
    <row r="93" spans="1:8" x14ac:dyDescent="0.25">
      <c r="A93" s="10">
        <v>91</v>
      </c>
      <c r="B93" s="10">
        <v>9.4000000000000199</v>
      </c>
      <c r="C93" s="10">
        <v>0.45</v>
      </c>
      <c r="D93" s="10">
        <v>9.3000000000000007</v>
      </c>
      <c r="E93" s="10">
        <v>2.0666666666666669</v>
      </c>
      <c r="F93" s="10" t="s">
        <v>58</v>
      </c>
      <c r="G93" s="10">
        <v>3.213033565765496</v>
      </c>
      <c r="H93" s="10">
        <v>3</v>
      </c>
    </row>
    <row r="94" spans="1:8" x14ac:dyDescent="0.25">
      <c r="A94" s="10">
        <v>92</v>
      </c>
      <c r="B94" s="10">
        <v>9.5000000000000195</v>
      </c>
      <c r="C94" s="10">
        <v>0.44</v>
      </c>
      <c r="D94" s="10">
        <v>8.4</v>
      </c>
      <c r="E94" s="10">
        <v>1.9090909090909092</v>
      </c>
      <c r="F94" s="10" t="s">
        <v>58</v>
      </c>
      <c r="G94" s="10">
        <v>3.2053392199213881</v>
      </c>
      <c r="H94" s="10">
        <v>3</v>
      </c>
    </row>
    <row r="95" spans="1:8" x14ac:dyDescent="0.25">
      <c r="A95" s="10">
        <v>93</v>
      </c>
      <c r="B95" s="10">
        <v>9.6000000000000192</v>
      </c>
      <c r="C95" s="10">
        <v>0.4</v>
      </c>
      <c r="D95" s="10">
        <v>8.8000000000000007</v>
      </c>
      <c r="E95" s="10">
        <v>2.2000000000000002</v>
      </c>
      <c r="F95" s="10" t="s">
        <v>58</v>
      </c>
      <c r="G95" s="10">
        <v>3.2709428318846734</v>
      </c>
      <c r="H95" s="10">
        <v>3</v>
      </c>
    </row>
    <row r="96" spans="1:8" x14ac:dyDescent="0.25">
      <c r="A96" s="10">
        <v>94</v>
      </c>
      <c r="B96" s="10">
        <v>9.7000000000000206</v>
      </c>
      <c r="C96" s="10">
        <v>0.38</v>
      </c>
      <c r="D96" s="10">
        <v>8.8000000000000007</v>
      </c>
      <c r="E96" s="10">
        <v>2.3157894736842106</v>
      </c>
      <c r="F96" s="10" t="s">
        <v>58</v>
      </c>
      <c r="G96" s="10">
        <v>3.3011663381264094</v>
      </c>
      <c r="H96" s="10">
        <v>3</v>
      </c>
    </row>
    <row r="97" spans="1:8" x14ac:dyDescent="0.25">
      <c r="A97" s="10">
        <v>95</v>
      </c>
      <c r="B97" s="10">
        <v>9.8000000000000203</v>
      </c>
      <c r="C97" s="10">
        <v>0.38</v>
      </c>
      <c r="D97" s="10">
        <v>8.9</v>
      </c>
      <c r="E97" s="10">
        <v>2.3421052631578951</v>
      </c>
      <c r="F97" s="10" t="s">
        <v>58</v>
      </c>
      <c r="G97" s="10">
        <v>3.303524870617002</v>
      </c>
      <c r="H97" s="10">
        <v>3</v>
      </c>
    </row>
    <row r="98" spans="1:8" x14ac:dyDescent="0.25">
      <c r="A98" s="10">
        <v>96</v>
      </c>
      <c r="B98" s="10">
        <v>9.9000000000000199</v>
      </c>
      <c r="C98" s="10">
        <v>0.37</v>
      </c>
      <c r="D98" s="10">
        <v>8.6999999999999993</v>
      </c>
      <c r="E98" s="10">
        <v>2.3513513513513513</v>
      </c>
      <c r="F98" s="10" t="s">
        <v>58</v>
      </c>
      <c r="G98" s="10">
        <v>3.314503628393485</v>
      </c>
      <c r="H98" s="10">
        <v>3</v>
      </c>
    </row>
    <row r="99" spans="1:8" x14ac:dyDescent="0.25">
      <c r="A99" s="10">
        <v>97</v>
      </c>
      <c r="B99" s="10">
        <v>10</v>
      </c>
      <c r="C99" s="10">
        <v>0.35</v>
      </c>
      <c r="D99" s="10">
        <v>8.1999999999999993</v>
      </c>
      <c r="E99" s="10">
        <v>2.342857142857143</v>
      </c>
      <c r="F99" s="10" t="s">
        <v>58</v>
      </c>
      <c r="G99" s="10">
        <v>3.3349445363886345</v>
      </c>
      <c r="H99" s="10">
        <v>3</v>
      </c>
    </row>
    <row r="100" spans="1:8" x14ac:dyDescent="0.25">
      <c r="A100" s="10">
        <v>98</v>
      </c>
      <c r="B100" s="10">
        <v>10.1</v>
      </c>
      <c r="C100" s="10">
        <v>0.36</v>
      </c>
      <c r="D100" s="10">
        <v>8.6999999999999993</v>
      </c>
      <c r="E100" s="10">
        <v>2.416666666666667</v>
      </c>
      <c r="F100" s="10" t="s">
        <v>58</v>
      </c>
      <c r="G100" s="10">
        <v>3.3306579993594552</v>
      </c>
      <c r="H100" s="10">
        <v>3</v>
      </c>
    </row>
    <row r="101" spans="1:8" x14ac:dyDescent="0.25">
      <c r="A101" s="10">
        <v>99</v>
      </c>
      <c r="B101" s="10">
        <v>10.199999999999999</v>
      </c>
      <c r="C101" s="10">
        <v>0.38</v>
      </c>
      <c r="D101" s="10">
        <v>8</v>
      </c>
      <c r="E101" s="10">
        <v>2.1052631578947367</v>
      </c>
      <c r="F101" s="10" t="s">
        <v>58</v>
      </c>
      <c r="G101" s="10">
        <v>3.2814970130346559</v>
      </c>
      <c r="H101" s="10">
        <v>3</v>
      </c>
    </row>
    <row r="102" spans="1:8" x14ac:dyDescent="0.25">
      <c r="A102" s="10">
        <v>100</v>
      </c>
      <c r="B102" s="10">
        <v>10.3</v>
      </c>
      <c r="C102" s="10">
        <v>0.36</v>
      </c>
      <c r="D102" s="10">
        <v>7.9</v>
      </c>
      <c r="E102" s="10">
        <v>2.1944444444444446</v>
      </c>
      <c r="F102" s="10" t="s">
        <v>58</v>
      </c>
      <c r="G102" s="10">
        <v>3.3106967895373156</v>
      </c>
      <c r="H102" s="10">
        <v>3</v>
      </c>
    </row>
    <row r="103" spans="1:8" x14ac:dyDescent="0.25">
      <c r="A103" s="10">
        <v>101</v>
      </c>
      <c r="B103" s="10">
        <v>10.4</v>
      </c>
      <c r="C103" s="10">
        <v>0.36</v>
      </c>
      <c r="D103" s="10">
        <v>7.5</v>
      </c>
      <c r="E103" s="10">
        <v>2.0833333333333335</v>
      </c>
      <c r="F103" s="10" t="s">
        <v>58</v>
      </c>
      <c r="G103" s="10">
        <v>3.3001147381316622</v>
      </c>
      <c r="H103" s="10">
        <v>3</v>
      </c>
    </row>
    <row r="104" spans="1:8" x14ac:dyDescent="0.25">
      <c r="A104" s="10">
        <v>102</v>
      </c>
      <c r="B104" s="10">
        <v>10.5</v>
      </c>
      <c r="C104" s="10">
        <v>0.35</v>
      </c>
      <c r="D104" s="10">
        <v>7.1</v>
      </c>
      <c r="E104" s="10">
        <v>2.0285714285714285</v>
      </c>
      <c r="F104" s="10" t="s">
        <v>58</v>
      </c>
      <c r="G104" s="10">
        <v>3.3055821805525532</v>
      </c>
      <c r="H104" s="10">
        <v>3</v>
      </c>
    </row>
    <row r="105" spans="1:8" x14ac:dyDescent="0.25">
      <c r="A105" s="10">
        <v>103</v>
      </c>
      <c r="B105" s="10">
        <v>10.6</v>
      </c>
      <c r="C105" s="10">
        <v>0.35</v>
      </c>
      <c r="D105" s="10">
        <v>7.2</v>
      </c>
      <c r="E105" s="10">
        <v>2.0571428571428574</v>
      </c>
      <c r="F105" s="10" t="s">
        <v>58</v>
      </c>
      <c r="G105" s="10">
        <v>3.308392843457943</v>
      </c>
      <c r="H105" s="10">
        <v>3</v>
      </c>
    </row>
    <row r="106" spans="1:8" x14ac:dyDescent="0.25">
      <c r="A106" s="10">
        <v>104</v>
      </c>
      <c r="B106" s="10">
        <v>10.7</v>
      </c>
      <c r="C106" s="10">
        <v>0.36</v>
      </c>
      <c r="D106" s="10">
        <v>7.7</v>
      </c>
      <c r="E106" s="10">
        <v>2.1388888888888888</v>
      </c>
      <c r="F106" s="10" t="s">
        <v>58</v>
      </c>
      <c r="G106" s="10">
        <v>3.3054594667557073</v>
      </c>
      <c r="H106" s="10">
        <v>3</v>
      </c>
    </row>
    <row r="107" spans="1:8" x14ac:dyDescent="0.25">
      <c r="A107" s="10">
        <v>105</v>
      </c>
      <c r="B107" s="10">
        <v>10.8</v>
      </c>
      <c r="C107" s="10">
        <v>0.36</v>
      </c>
      <c r="D107" s="10">
        <v>8.1999999999999993</v>
      </c>
      <c r="E107" s="10">
        <v>2.2777777777777777</v>
      </c>
      <c r="F107" s="10" t="s">
        <v>58</v>
      </c>
      <c r="G107" s="10">
        <v>3.3183611647557427</v>
      </c>
      <c r="H107" s="10">
        <v>3</v>
      </c>
    </row>
    <row r="108" spans="1:8" x14ac:dyDescent="0.25">
      <c r="A108" s="10">
        <v>106</v>
      </c>
      <c r="B108" s="10">
        <v>10.9</v>
      </c>
      <c r="C108" s="10">
        <v>0.38</v>
      </c>
      <c r="D108" s="10">
        <v>8.4</v>
      </c>
      <c r="E108" s="10">
        <v>2.2105263157894739</v>
      </c>
      <c r="F108" s="10" t="s">
        <v>58</v>
      </c>
      <c r="G108" s="10">
        <v>3.2915155770974036</v>
      </c>
      <c r="H108" s="10">
        <v>3</v>
      </c>
    </row>
    <row r="109" spans="1:8" x14ac:dyDescent="0.25">
      <c r="A109" s="10">
        <v>107</v>
      </c>
      <c r="B109" s="10">
        <v>11</v>
      </c>
      <c r="C109" s="10">
        <v>0.37</v>
      </c>
      <c r="D109" s="10">
        <v>8.4</v>
      </c>
      <c r="E109" s="10">
        <v>2.2702702702702706</v>
      </c>
      <c r="F109" s="10" t="s">
        <v>58</v>
      </c>
      <c r="G109" s="10">
        <v>3.3072138284939601</v>
      </c>
      <c r="H109" s="10">
        <v>3</v>
      </c>
    </row>
    <row r="110" spans="1:8" x14ac:dyDescent="0.25">
      <c r="A110" s="10">
        <v>108</v>
      </c>
      <c r="B110" s="10">
        <v>11.1</v>
      </c>
      <c r="C110" s="10">
        <v>0.38</v>
      </c>
      <c r="D110" s="10">
        <v>8.5</v>
      </c>
      <c r="E110" s="10">
        <v>2.236842105263158</v>
      </c>
      <c r="F110" s="10" t="s">
        <v>58</v>
      </c>
      <c r="G110" s="10">
        <v>3.2939616115452242</v>
      </c>
      <c r="H110" s="10">
        <v>3</v>
      </c>
    </row>
    <row r="111" spans="1:8" x14ac:dyDescent="0.25">
      <c r="A111" s="10">
        <v>109</v>
      </c>
      <c r="B111" s="10">
        <v>11.2</v>
      </c>
      <c r="C111" s="10">
        <v>0.38</v>
      </c>
      <c r="D111" s="10">
        <v>9.6</v>
      </c>
      <c r="E111" s="10">
        <v>2.5263157894736841</v>
      </c>
      <c r="F111" s="10" t="s">
        <v>58</v>
      </c>
      <c r="G111" s="10">
        <v>3.3194719704084497</v>
      </c>
      <c r="H111" s="10">
        <v>3</v>
      </c>
    </row>
    <row r="112" spans="1:8" x14ac:dyDescent="0.25">
      <c r="A112" s="10">
        <v>110</v>
      </c>
      <c r="B112" s="10">
        <v>11.3</v>
      </c>
      <c r="C112" s="10">
        <v>0.41</v>
      </c>
      <c r="D112" s="10">
        <v>9</v>
      </c>
      <c r="E112" s="10">
        <v>2.1951219512195124</v>
      </c>
      <c r="F112" s="10" t="s">
        <v>58</v>
      </c>
      <c r="G112" s="10">
        <v>3.2610637969500829</v>
      </c>
      <c r="H112" s="10">
        <v>3</v>
      </c>
    </row>
    <row r="113" spans="1:8" x14ac:dyDescent="0.25">
      <c r="A113" s="10">
        <v>111</v>
      </c>
      <c r="B113" s="10">
        <v>11.4</v>
      </c>
      <c r="C113" s="10">
        <v>0.42</v>
      </c>
      <c r="D113" s="10">
        <v>8.9</v>
      </c>
      <c r="E113" s="10">
        <v>2.1190476190476195</v>
      </c>
      <c r="F113" s="10" t="s">
        <v>58</v>
      </c>
      <c r="G113" s="10">
        <v>3.2445525019029953</v>
      </c>
      <c r="H113" s="10">
        <v>3</v>
      </c>
    </row>
    <row r="114" spans="1:8" x14ac:dyDescent="0.25">
      <c r="A114" s="10">
        <v>112</v>
      </c>
      <c r="B114" s="10">
        <v>11.5</v>
      </c>
      <c r="C114" s="10">
        <v>0.41</v>
      </c>
      <c r="D114" s="10">
        <v>8.6</v>
      </c>
      <c r="E114" s="10">
        <v>2.0975609756097562</v>
      </c>
      <c r="F114" s="10" t="s">
        <v>58</v>
      </c>
      <c r="G114" s="10">
        <v>3.2516561710293721</v>
      </c>
      <c r="H114" s="10">
        <v>3</v>
      </c>
    </row>
    <row r="115" spans="1:8" x14ac:dyDescent="0.25">
      <c r="A115" s="10">
        <v>113</v>
      </c>
      <c r="B115" s="10">
        <v>11.6</v>
      </c>
      <c r="C115" s="10">
        <v>0.4</v>
      </c>
      <c r="D115" s="10">
        <v>8.6</v>
      </c>
      <c r="E115" s="10">
        <v>2.15</v>
      </c>
      <c r="F115" s="10" t="s">
        <v>58</v>
      </c>
      <c r="G115" s="10">
        <v>3.2661854735662539</v>
      </c>
      <c r="H115" s="10">
        <v>3</v>
      </c>
    </row>
    <row r="116" spans="1:8" x14ac:dyDescent="0.25">
      <c r="A116" s="10">
        <v>114</v>
      </c>
      <c r="B116" s="10">
        <v>11.7</v>
      </c>
      <c r="C116" s="10">
        <v>0.42</v>
      </c>
      <c r="D116" s="10">
        <v>9.1</v>
      </c>
      <c r="E116" s="10">
        <v>2.166666666666667</v>
      </c>
      <c r="F116" s="10" t="s">
        <v>58</v>
      </c>
      <c r="G116" s="10">
        <v>3.2491627979488427</v>
      </c>
      <c r="H116" s="10">
        <v>3</v>
      </c>
    </row>
    <row r="117" spans="1:8" x14ac:dyDescent="0.25">
      <c r="A117" s="10">
        <v>115</v>
      </c>
      <c r="B117" s="10">
        <v>11.8</v>
      </c>
      <c r="C117" s="10">
        <v>0.43</v>
      </c>
      <c r="D117" s="10">
        <v>9.6999999999999993</v>
      </c>
      <c r="E117" s="10">
        <v>2.2558139534883721</v>
      </c>
      <c r="F117" s="10" t="s">
        <v>58</v>
      </c>
      <c r="G117" s="10">
        <v>3.2486393754544811</v>
      </c>
      <c r="H117" s="10">
        <v>3</v>
      </c>
    </row>
    <row r="118" spans="1:8" x14ac:dyDescent="0.25">
      <c r="A118" s="10">
        <v>116</v>
      </c>
      <c r="B118" s="10">
        <v>11.9</v>
      </c>
      <c r="C118" s="10">
        <v>0.43</v>
      </c>
      <c r="D118" s="10">
        <v>9.8000000000000007</v>
      </c>
      <c r="E118" s="10">
        <v>2.2790697674418605</v>
      </c>
      <c r="F118" s="10" t="s">
        <v>58</v>
      </c>
      <c r="G118" s="10">
        <v>3.250798931470761</v>
      </c>
      <c r="H118" s="10">
        <v>3</v>
      </c>
    </row>
    <row r="119" spans="1:8" x14ac:dyDescent="0.25">
      <c r="A119" s="10">
        <v>117</v>
      </c>
      <c r="B119" s="10">
        <v>12</v>
      </c>
      <c r="C119" s="10">
        <v>0.44</v>
      </c>
      <c r="D119" s="10">
        <v>9.9</v>
      </c>
      <c r="E119" s="10">
        <v>2.25</v>
      </c>
      <c r="F119" s="10" t="s">
        <v>58</v>
      </c>
      <c r="G119" s="10">
        <v>3.2393636524803395</v>
      </c>
      <c r="H119" s="10">
        <v>3</v>
      </c>
    </row>
    <row r="120" spans="1:8" x14ac:dyDescent="0.25">
      <c r="A120" s="10">
        <v>118</v>
      </c>
      <c r="B120" s="10">
        <v>12.1</v>
      </c>
      <c r="C120" s="10">
        <v>0.44</v>
      </c>
      <c r="D120" s="10">
        <v>10.6</v>
      </c>
      <c r="E120" s="10">
        <v>2.4090909090909092</v>
      </c>
      <c r="F120" s="10" t="s">
        <v>58</v>
      </c>
      <c r="G120" s="10">
        <v>3.2538673361334038</v>
      </c>
      <c r="H120" s="10">
        <v>3</v>
      </c>
    </row>
    <row r="121" spans="1:8" x14ac:dyDescent="0.25">
      <c r="A121" s="10">
        <v>119</v>
      </c>
      <c r="B121" s="10">
        <v>12.2</v>
      </c>
      <c r="C121" s="10">
        <v>0.45</v>
      </c>
      <c r="D121" s="10">
        <v>10.1</v>
      </c>
      <c r="E121" s="10">
        <v>2.2444444444444445</v>
      </c>
      <c r="F121" s="10" t="s">
        <v>58</v>
      </c>
      <c r="G121" s="10">
        <v>3.2303115077069471</v>
      </c>
      <c r="H121" s="10">
        <v>3</v>
      </c>
    </row>
    <row r="122" spans="1:8" x14ac:dyDescent="0.25">
      <c r="A122" s="10">
        <v>120</v>
      </c>
      <c r="B122" s="10">
        <v>12.3</v>
      </c>
      <c r="C122" s="10">
        <v>0.47</v>
      </c>
      <c r="D122" s="10">
        <v>10.199999999999999</v>
      </c>
      <c r="E122" s="10">
        <v>2.1702127659574471</v>
      </c>
      <c r="F122" s="10" t="s">
        <v>58</v>
      </c>
      <c r="G122" s="10">
        <v>3.2067082145725641</v>
      </c>
      <c r="H122" s="10">
        <v>3</v>
      </c>
    </row>
    <row r="123" spans="1:8" x14ac:dyDescent="0.25">
      <c r="A123" s="10">
        <v>121</v>
      </c>
      <c r="B123" s="10">
        <v>12.4</v>
      </c>
      <c r="C123" s="10">
        <v>0.49</v>
      </c>
      <c r="D123" s="10">
        <v>10.8</v>
      </c>
      <c r="E123" s="10">
        <v>2.2040816326530615</v>
      </c>
      <c r="F123" s="10" t="s">
        <v>58</v>
      </c>
      <c r="G123" s="10">
        <v>3.1941830570051573</v>
      </c>
      <c r="H123" s="10">
        <v>3</v>
      </c>
    </row>
    <row r="124" spans="1:8" x14ac:dyDescent="0.25">
      <c r="A124" s="10">
        <v>122</v>
      </c>
      <c r="B124" s="10">
        <v>12.5</v>
      </c>
      <c r="C124" s="10">
        <v>0.52</v>
      </c>
      <c r="D124" s="10">
        <v>11.5</v>
      </c>
      <c r="E124" s="10">
        <v>2.2115384615384617</v>
      </c>
      <c r="F124" s="10" t="s">
        <v>58</v>
      </c>
      <c r="G124" s="10">
        <v>3.1724259162250954</v>
      </c>
      <c r="H124" s="10">
        <v>3</v>
      </c>
    </row>
    <row r="125" spans="1:8" x14ac:dyDescent="0.25">
      <c r="A125" s="10">
        <v>123</v>
      </c>
      <c r="B125" s="10">
        <v>12.6</v>
      </c>
      <c r="C125" s="10">
        <v>0.52</v>
      </c>
      <c r="D125" s="10">
        <v>11.5</v>
      </c>
      <c r="E125" s="10">
        <v>2.2115384615384617</v>
      </c>
      <c r="F125" s="10" t="s">
        <v>58</v>
      </c>
      <c r="G125" s="10">
        <v>3.1724259162250954</v>
      </c>
      <c r="H125" s="10">
        <v>3</v>
      </c>
    </row>
    <row r="126" spans="1:8" x14ac:dyDescent="0.25">
      <c r="A126" s="10">
        <v>124</v>
      </c>
      <c r="B126" s="10">
        <v>12.7</v>
      </c>
      <c r="C126" s="10">
        <v>0.56999999999999995</v>
      </c>
      <c r="D126" s="10">
        <v>10.9</v>
      </c>
      <c r="E126" s="10">
        <v>1.9122807017543864</v>
      </c>
      <c r="F126" s="10" t="s">
        <v>58</v>
      </c>
      <c r="G126" s="10">
        <v>3.1067984350632396</v>
      </c>
      <c r="H126" s="10">
        <v>3</v>
      </c>
    </row>
    <row r="127" spans="1:8" x14ac:dyDescent="0.25">
      <c r="A127" s="10">
        <v>125</v>
      </c>
      <c r="B127" s="10">
        <v>12.8</v>
      </c>
      <c r="C127" s="10">
        <v>0.68</v>
      </c>
      <c r="D127" s="10">
        <v>10.3</v>
      </c>
      <c r="E127" s="10">
        <v>1.5147058823529411</v>
      </c>
      <c r="F127" s="10" t="s">
        <v>58</v>
      </c>
      <c r="G127" s="10">
        <v>2.9912315733120316</v>
      </c>
      <c r="H127" s="10">
        <v>3</v>
      </c>
    </row>
    <row r="128" spans="1:8" x14ac:dyDescent="0.25">
      <c r="A128" s="10">
        <v>126</v>
      </c>
      <c r="B128" s="10">
        <v>12.9</v>
      </c>
      <c r="C128" s="10">
        <v>0.7</v>
      </c>
      <c r="D128" s="10">
        <v>9</v>
      </c>
      <c r="E128" s="10">
        <v>1.2857142857142858</v>
      </c>
      <c r="F128" s="10" t="s">
        <v>57</v>
      </c>
      <c r="G128" s="10">
        <v>2.9473342352126086</v>
      </c>
      <c r="H128" s="10">
        <v>4</v>
      </c>
    </row>
    <row r="129" spans="1:8" x14ac:dyDescent="0.25">
      <c r="A129" s="10">
        <v>127</v>
      </c>
      <c r="B129" s="10">
        <v>13</v>
      </c>
      <c r="C129" s="10">
        <v>0.56999999999999995</v>
      </c>
      <c r="D129" s="10">
        <v>10.5</v>
      </c>
      <c r="E129" s="10">
        <v>1.8421052631578949</v>
      </c>
      <c r="F129" s="10" t="s">
        <v>58</v>
      </c>
      <c r="G129" s="10">
        <v>3.0989834103264151</v>
      </c>
      <c r="H129" s="10">
        <v>3</v>
      </c>
    </row>
    <row r="130" spans="1:8" x14ac:dyDescent="0.25">
      <c r="A130" s="10">
        <v>128</v>
      </c>
      <c r="B130" s="10">
        <v>13.1</v>
      </c>
      <c r="C130" s="10">
        <v>0.5</v>
      </c>
      <c r="D130" s="10">
        <v>12.8</v>
      </c>
      <c r="E130" s="10">
        <v>2.5600000000000005</v>
      </c>
      <c r="F130" s="10" t="s">
        <v>58</v>
      </c>
      <c r="G130" s="10">
        <v>3.2189263909120087</v>
      </c>
      <c r="H130" s="10">
        <v>3</v>
      </c>
    </row>
    <row r="131" spans="1:8" x14ac:dyDescent="0.25">
      <c r="A131" s="10">
        <v>129</v>
      </c>
      <c r="B131" s="10">
        <v>13.2</v>
      </c>
      <c r="C131" s="10">
        <v>0.71</v>
      </c>
      <c r="D131" s="10">
        <v>14.8</v>
      </c>
      <c r="E131" s="10">
        <v>2.0845070422535215</v>
      </c>
      <c r="F131" s="10" t="s">
        <v>58</v>
      </c>
      <c r="G131" s="10">
        <v>3.0424188634234546</v>
      </c>
      <c r="H131" s="10">
        <v>3</v>
      </c>
    </row>
    <row r="132" spans="1:8" x14ac:dyDescent="0.25">
      <c r="A132" s="10">
        <v>130</v>
      </c>
      <c r="B132" s="10">
        <v>13.3</v>
      </c>
      <c r="C132" s="10">
        <v>0.64</v>
      </c>
      <c r="D132" s="10">
        <v>19.2</v>
      </c>
      <c r="E132" s="10">
        <v>3</v>
      </c>
      <c r="F132" s="10" t="s">
        <v>58</v>
      </c>
      <c r="G132" s="10">
        <v>3.163328376432101</v>
      </c>
      <c r="H132" s="10">
        <v>3</v>
      </c>
    </row>
    <row r="133" spans="1:8" x14ac:dyDescent="0.25">
      <c r="A133" s="10">
        <v>131</v>
      </c>
      <c r="B133" s="10">
        <v>13.4</v>
      </c>
      <c r="C133" s="10">
        <v>0.88</v>
      </c>
      <c r="D133" s="10">
        <v>37.5</v>
      </c>
      <c r="E133" s="10">
        <v>4.2613636363636367</v>
      </c>
      <c r="F133" s="10" t="s">
        <v>58</v>
      </c>
      <c r="G133" s="10">
        <v>3.1349601700412539</v>
      </c>
      <c r="H133" s="10">
        <v>3</v>
      </c>
    </row>
    <row r="134" spans="1:8" x14ac:dyDescent="0.25">
      <c r="A134" s="10">
        <v>132</v>
      </c>
      <c r="B134" s="10">
        <v>13.5</v>
      </c>
      <c r="C134" s="10">
        <v>1.26</v>
      </c>
      <c r="D134" s="10">
        <v>53.2</v>
      </c>
      <c r="E134" s="10">
        <v>4.2222222222222223</v>
      </c>
      <c r="F134" s="10" t="s">
        <v>58</v>
      </c>
      <c r="G134" s="10">
        <v>3.0080377065255726</v>
      </c>
      <c r="H134" s="10">
        <v>3</v>
      </c>
    </row>
    <row r="135" spans="1:8" x14ac:dyDescent="0.25">
      <c r="A135" s="10">
        <v>133</v>
      </c>
      <c r="B135" s="10">
        <v>13.6</v>
      </c>
      <c r="C135" s="10">
        <v>1.1599999999999999</v>
      </c>
      <c r="D135" s="10">
        <v>54.5</v>
      </c>
      <c r="E135" s="10">
        <v>4.6982758620689662</v>
      </c>
      <c r="F135" s="10" t="s">
        <v>58</v>
      </c>
      <c r="G135" s="10">
        <v>3.0648979567113752</v>
      </c>
      <c r="H135" s="10">
        <v>3</v>
      </c>
    </row>
    <row r="136" spans="1:8" x14ac:dyDescent="0.25">
      <c r="A136" s="10">
        <v>134</v>
      </c>
      <c r="B136" s="10">
        <v>13.7</v>
      </c>
      <c r="C136" s="10">
        <v>0.99</v>
      </c>
      <c r="D136" s="10">
        <v>55.4</v>
      </c>
      <c r="E136" s="10">
        <v>5.595959595959596</v>
      </c>
      <c r="F136" s="10" t="s">
        <v>58</v>
      </c>
      <c r="G136" s="10">
        <v>3.1659649654986572</v>
      </c>
      <c r="H136" s="10">
        <v>3</v>
      </c>
    </row>
    <row r="137" spans="1:8" x14ac:dyDescent="0.25">
      <c r="A137" s="10">
        <v>135</v>
      </c>
      <c r="B137" s="10">
        <v>13.8</v>
      </c>
      <c r="C137" s="10">
        <v>0.93</v>
      </c>
      <c r="D137" s="10">
        <v>54.5</v>
      </c>
      <c r="E137" s="10">
        <v>5.860215053763441</v>
      </c>
      <c r="F137" s="10" t="s">
        <v>58</v>
      </c>
      <c r="G137" s="10">
        <v>3.1996907572867506</v>
      </c>
      <c r="H137" s="10">
        <v>3</v>
      </c>
    </row>
    <row r="138" spans="1:8" x14ac:dyDescent="0.25">
      <c r="A138" s="10">
        <v>136</v>
      </c>
      <c r="B138" s="10">
        <v>13.9</v>
      </c>
      <c r="C138" s="10">
        <v>0.91</v>
      </c>
      <c r="D138" s="10">
        <v>53.5</v>
      </c>
      <c r="E138" s="10">
        <v>5.8791208791208796</v>
      </c>
      <c r="F138" s="10" t="s">
        <v>58</v>
      </c>
      <c r="G138" s="10">
        <v>3.2079616499021282</v>
      </c>
      <c r="H138" s="10">
        <v>3</v>
      </c>
    </row>
    <row r="139" spans="1:8" x14ac:dyDescent="0.25">
      <c r="A139" s="10">
        <v>137</v>
      </c>
      <c r="B139" s="10">
        <v>14</v>
      </c>
      <c r="C139" s="10">
        <v>1.1599999999999999</v>
      </c>
      <c r="D139" s="10">
        <v>60.6</v>
      </c>
      <c r="E139" s="10">
        <v>5.224137931034484</v>
      </c>
      <c r="F139" s="10" t="s">
        <v>58</v>
      </c>
      <c r="G139" s="10">
        <v>3.0935527913924363</v>
      </c>
      <c r="H139" s="10">
        <v>3</v>
      </c>
    </row>
    <row r="140" spans="1:8" x14ac:dyDescent="0.25">
      <c r="A140" s="10">
        <v>138</v>
      </c>
      <c r="B140" s="10">
        <v>14.1</v>
      </c>
      <c r="C140" s="10">
        <v>1.34</v>
      </c>
      <c r="D140" s="10">
        <v>73.7</v>
      </c>
      <c r="E140" s="10">
        <v>5.5</v>
      </c>
      <c r="F140" s="10" t="s">
        <v>58</v>
      </c>
      <c r="G140" s="10">
        <v>3.0592481637571147</v>
      </c>
      <c r="H140" s="10">
        <v>3</v>
      </c>
    </row>
    <row r="141" spans="1:8" x14ac:dyDescent="0.25">
      <c r="A141" s="10">
        <v>139</v>
      </c>
      <c r="B141" s="10">
        <v>14.2</v>
      </c>
      <c r="C141" s="10">
        <v>1.69</v>
      </c>
      <c r="D141" s="10">
        <v>89.3</v>
      </c>
      <c r="E141" s="10">
        <v>5.2840236686390529</v>
      </c>
      <c r="F141" s="10" t="s">
        <v>58</v>
      </c>
      <c r="G141" s="10">
        <v>2.9711700272375574</v>
      </c>
      <c r="H141" s="10">
        <v>3</v>
      </c>
    </row>
    <row r="142" spans="1:8" x14ac:dyDescent="0.25">
      <c r="A142" s="10">
        <v>140</v>
      </c>
      <c r="B142" s="10">
        <v>14.3</v>
      </c>
      <c r="C142" s="10">
        <v>1.58</v>
      </c>
      <c r="D142" s="10">
        <v>85.1</v>
      </c>
      <c r="E142" s="10">
        <v>5.386075949367088</v>
      </c>
      <c r="F142" s="10" t="s">
        <v>58</v>
      </c>
      <c r="G142" s="10">
        <v>2.9987437948048314</v>
      </c>
      <c r="H142" s="10">
        <v>3</v>
      </c>
    </row>
    <row r="143" spans="1:8" x14ac:dyDescent="0.25">
      <c r="A143" s="10">
        <v>141</v>
      </c>
      <c r="B143" s="10">
        <v>14.4</v>
      </c>
      <c r="C143" s="10">
        <v>1.71</v>
      </c>
      <c r="D143" s="10">
        <v>93.1</v>
      </c>
      <c r="E143" s="10">
        <v>5.4444444444444446</v>
      </c>
      <c r="F143" s="10" t="s">
        <v>58</v>
      </c>
      <c r="G143" s="10">
        <v>2.9758275522093869</v>
      </c>
      <c r="H143" s="10">
        <v>3</v>
      </c>
    </row>
    <row r="144" spans="1:8" x14ac:dyDescent="0.25">
      <c r="A144" s="10">
        <v>142</v>
      </c>
      <c r="B144" s="10">
        <v>14.5</v>
      </c>
      <c r="C144" s="10">
        <v>1.96</v>
      </c>
      <c r="D144" s="10">
        <v>100.3</v>
      </c>
      <c r="E144" s="10">
        <v>5.1173469387755111</v>
      </c>
      <c r="F144" s="10" t="s">
        <v>57</v>
      </c>
      <c r="G144" s="10">
        <v>2.913539773654394</v>
      </c>
      <c r="H144" s="10">
        <v>4</v>
      </c>
    </row>
    <row r="145" spans="1:8" x14ac:dyDescent="0.25">
      <c r="A145" s="10">
        <v>143</v>
      </c>
      <c r="B145" s="10">
        <v>14.6</v>
      </c>
      <c r="C145" s="10">
        <v>1.86</v>
      </c>
      <c r="D145" s="10">
        <v>98</v>
      </c>
      <c r="E145" s="10">
        <v>5.268817204301075</v>
      </c>
      <c r="F145" s="10" t="s">
        <v>57</v>
      </c>
      <c r="G145" s="10">
        <v>2.9389767795104271</v>
      </c>
      <c r="H145" s="10">
        <v>4</v>
      </c>
    </row>
    <row r="146" spans="1:8" x14ac:dyDescent="0.25">
      <c r="A146" s="10">
        <v>144</v>
      </c>
      <c r="B146" s="10">
        <v>14.7</v>
      </c>
      <c r="C146" s="10">
        <v>1.74</v>
      </c>
      <c r="D146" s="10">
        <v>88.5</v>
      </c>
      <c r="E146" s="10">
        <v>5.0862068965517242</v>
      </c>
      <c r="F146" s="10" t="s">
        <v>58</v>
      </c>
      <c r="G146" s="10">
        <v>2.9507570342666343</v>
      </c>
      <c r="H146" s="10">
        <v>3</v>
      </c>
    </row>
    <row r="147" spans="1:8" x14ac:dyDescent="0.25">
      <c r="A147" s="10">
        <v>145</v>
      </c>
      <c r="B147" s="10">
        <v>14.8000000000001</v>
      </c>
      <c r="C147" s="10">
        <v>1.76</v>
      </c>
      <c r="D147" s="10">
        <v>91.5</v>
      </c>
      <c r="E147" s="10">
        <v>5.1988636363636367</v>
      </c>
      <c r="F147" s="10" t="s">
        <v>58</v>
      </c>
      <c r="G147" s="10">
        <v>2.9532272295477338</v>
      </c>
      <c r="H147" s="10">
        <v>3</v>
      </c>
    </row>
    <row r="148" spans="1:8" x14ac:dyDescent="0.25">
      <c r="A148" s="10">
        <v>146</v>
      </c>
      <c r="B148" s="10">
        <v>14.9</v>
      </c>
      <c r="C148" s="10">
        <v>1.66</v>
      </c>
      <c r="D148" s="10">
        <v>100.5</v>
      </c>
      <c r="E148" s="10">
        <v>6.0542168674698802</v>
      </c>
      <c r="F148" s="10" t="s">
        <v>58</v>
      </c>
      <c r="G148" s="10">
        <v>3.0159585450315491</v>
      </c>
      <c r="H148" s="10">
        <v>3</v>
      </c>
    </row>
    <row r="149" spans="1:8" x14ac:dyDescent="0.25">
      <c r="A149" s="10">
        <v>147</v>
      </c>
      <c r="B149" s="10">
        <v>15</v>
      </c>
      <c r="C149" s="10">
        <v>1.68</v>
      </c>
      <c r="D149" s="10">
        <v>100.4</v>
      </c>
      <c r="E149" s="10">
        <v>5.9761904761904772</v>
      </c>
      <c r="F149" s="10" t="s">
        <v>58</v>
      </c>
      <c r="G149" s="10">
        <v>3.0083290483322012</v>
      </c>
      <c r="H149" s="10">
        <v>3</v>
      </c>
    </row>
    <row r="150" spans="1:8" x14ac:dyDescent="0.25">
      <c r="A150" s="10">
        <v>148</v>
      </c>
      <c r="B150" s="10">
        <v>15.1</v>
      </c>
      <c r="C150" s="10">
        <v>1.62</v>
      </c>
      <c r="D150" s="10">
        <v>90.3</v>
      </c>
      <c r="E150" s="10">
        <v>5.5740740740740735</v>
      </c>
      <c r="F150" s="10" t="s">
        <v>58</v>
      </c>
      <c r="G150" s="10">
        <v>3.0002508076962919</v>
      </c>
      <c r="H150" s="10">
        <v>3</v>
      </c>
    </row>
    <row r="151" spans="1:8" x14ac:dyDescent="0.25">
      <c r="A151" s="10">
        <v>149</v>
      </c>
      <c r="B151" s="10">
        <v>15.2</v>
      </c>
      <c r="C151" s="10">
        <v>1.53</v>
      </c>
      <c r="D151" s="10">
        <v>84.8</v>
      </c>
      <c r="E151" s="10">
        <v>5.5424836601307188</v>
      </c>
      <c r="F151" s="10" t="s">
        <v>58</v>
      </c>
      <c r="G151" s="10">
        <v>3.017437892896409</v>
      </c>
      <c r="H151" s="10">
        <v>3</v>
      </c>
    </row>
    <row r="152" spans="1:8" x14ac:dyDescent="0.25">
      <c r="A152" s="10">
        <v>150</v>
      </c>
      <c r="B152" s="10">
        <v>15.3</v>
      </c>
      <c r="C152" s="10">
        <v>1.44</v>
      </c>
      <c r="D152" s="10">
        <v>78</v>
      </c>
      <c r="E152" s="10">
        <v>5.416666666666667</v>
      </c>
      <c r="F152" s="10" t="s">
        <v>58</v>
      </c>
      <c r="G152" s="10">
        <v>3.0310393067276342</v>
      </c>
      <c r="H152" s="10">
        <v>3</v>
      </c>
    </row>
    <row r="153" spans="1:8" x14ac:dyDescent="0.25">
      <c r="A153" s="10">
        <v>151</v>
      </c>
      <c r="B153" s="10">
        <v>15.4</v>
      </c>
      <c r="C153" s="10">
        <v>1.47</v>
      </c>
      <c r="D153" s="10">
        <v>69.599999999999994</v>
      </c>
      <c r="E153" s="10">
        <v>4.7346938775510203</v>
      </c>
      <c r="F153" s="10" t="s">
        <v>58</v>
      </c>
      <c r="G153" s="10">
        <v>2.9867772983206744</v>
      </c>
      <c r="H153" s="10">
        <v>3</v>
      </c>
    </row>
    <row r="154" spans="1:8" x14ac:dyDescent="0.25">
      <c r="A154" s="10">
        <v>152</v>
      </c>
      <c r="B154" s="10">
        <v>15.5</v>
      </c>
      <c r="C154" s="10">
        <v>1.34</v>
      </c>
      <c r="D154" s="10">
        <v>60.8</v>
      </c>
      <c r="E154" s="10">
        <v>4.5373134328358207</v>
      </c>
      <c r="F154" s="10" t="s">
        <v>58</v>
      </c>
      <c r="G154" s="10">
        <v>3.0063850580236151</v>
      </c>
      <c r="H154" s="10">
        <v>3</v>
      </c>
    </row>
    <row r="155" spans="1:8" x14ac:dyDescent="0.25">
      <c r="A155" s="10">
        <v>153</v>
      </c>
      <c r="B155" s="10">
        <v>15.6</v>
      </c>
      <c r="C155" s="10">
        <v>1.41</v>
      </c>
      <c r="D155" s="10">
        <v>62.7</v>
      </c>
      <c r="E155" s="10">
        <v>4.4468085106382986</v>
      </c>
      <c r="F155" s="10" t="s">
        <v>58</v>
      </c>
      <c r="G155" s="10">
        <v>2.9836547297551377</v>
      </c>
      <c r="H155" s="10">
        <v>3</v>
      </c>
    </row>
    <row r="156" spans="1:8" x14ac:dyDescent="0.25">
      <c r="A156" s="10">
        <v>154</v>
      </c>
      <c r="B156" s="10">
        <v>15.7</v>
      </c>
      <c r="C156" s="10">
        <v>1.59</v>
      </c>
      <c r="D156" s="10">
        <v>72.7</v>
      </c>
      <c r="E156" s="10">
        <v>4.5723270440251573</v>
      </c>
      <c r="F156" s="10" t="s">
        <v>58</v>
      </c>
      <c r="G156" s="10">
        <v>2.9508380758953132</v>
      </c>
      <c r="H156" s="10">
        <v>3</v>
      </c>
    </row>
    <row r="157" spans="1:8" x14ac:dyDescent="0.25">
      <c r="A157" s="10">
        <v>155</v>
      </c>
      <c r="B157" s="10">
        <v>15.8</v>
      </c>
      <c r="C157" s="10">
        <v>1.48</v>
      </c>
      <c r="D157" s="10">
        <v>72.2</v>
      </c>
      <c r="E157" s="10">
        <v>4.878378378378379</v>
      </c>
      <c r="F157" s="10" t="s">
        <v>58</v>
      </c>
      <c r="G157" s="10">
        <v>2.9927642068924931</v>
      </c>
      <c r="H157" s="10">
        <v>3</v>
      </c>
    </row>
    <row r="158" spans="1:8" x14ac:dyDescent="0.25">
      <c r="A158" s="10">
        <v>156</v>
      </c>
      <c r="B158" s="10">
        <v>15.9</v>
      </c>
      <c r="C158" s="10">
        <v>1.3</v>
      </c>
      <c r="D158" s="10">
        <v>50.1</v>
      </c>
      <c r="E158" s="10">
        <v>3.8538461538461544</v>
      </c>
      <c r="F158" s="10" t="s">
        <v>58</v>
      </c>
      <c r="G158" s="10">
        <v>2.9730838233411934</v>
      </c>
      <c r="H158" s="10">
        <v>3</v>
      </c>
    </row>
    <row r="159" spans="1:8" x14ac:dyDescent="0.25">
      <c r="A159" s="10">
        <v>157</v>
      </c>
      <c r="B159" s="10">
        <v>16</v>
      </c>
      <c r="C159" s="10">
        <v>1.08</v>
      </c>
      <c r="D159" s="10">
        <v>46.1</v>
      </c>
      <c r="E159" s="10">
        <v>4.2685185185185182</v>
      </c>
      <c r="F159" s="10" t="s">
        <v>58</v>
      </c>
      <c r="G159" s="10">
        <v>3.0640365540343537</v>
      </c>
      <c r="H159" s="10">
        <v>3</v>
      </c>
    </row>
    <row r="160" spans="1:8" x14ac:dyDescent="0.25">
      <c r="A160" s="10">
        <v>158</v>
      </c>
      <c r="B160" s="10">
        <v>16.100000000000001</v>
      </c>
      <c r="C160" s="10">
        <v>1.05</v>
      </c>
      <c r="D160" s="10">
        <v>44.2</v>
      </c>
      <c r="E160" s="10">
        <v>4.2095238095238106</v>
      </c>
      <c r="F160" s="10" t="s">
        <v>58</v>
      </c>
      <c r="G160" s="10">
        <v>3.0701627938295664</v>
      </c>
      <c r="H160" s="10">
        <v>3</v>
      </c>
    </row>
    <row r="161" spans="1:8" x14ac:dyDescent="0.25">
      <c r="A161" s="10">
        <v>159</v>
      </c>
      <c r="B161" s="10">
        <v>16.2</v>
      </c>
      <c r="C161" s="10">
        <v>1.01</v>
      </c>
      <c r="D161" s="10">
        <v>32.700000000000003</v>
      </c>
      <c r="E161" s="10">
        <v>3.2376237623762378</v>
      </c>
      <c r="F161" s="10" t="s">
        <v>58</v>
      </c>
      <c r="G161" s="10">
        <v>3.0168655501517558</v>
      </c>
      <c r="H161" s="10">
        <v>3</v>
      </c>
    </row>
    <row r="162" spans="1:8" x14ac:dyDescent="0.25">
      <c r="A162" s="10">
        <v>160</v>
      </c>
      <c r="B162" s="10">
        <v>16.3</v>
      </c>
      <c r="C162" s="10">
        <v>0.93</v>
      </c>
      <c r="D162" s="10">
        <v>20.399999999999999</v>
      </c>
      <c r="E162" s="10">
        <v>2.193548387096774</v>
      </c>
      <c r="F162" s="10" t="s">
        <v>58</v>
      </c>
      <c r="G162" s="10">
        <v>2.9535404659803599</v>
      </c>
      <c r="H162" s="10">
        <v>3</v>
      </c>
    </row>
    <row r="163" spans="1:8" x14ac:dyDescent="0.25">
      <c r="A163" s="10">
        <v>161</v>
      </c>
      <c r="B163" s="10">
        <v>16.399999999999999</v>
      </c>
      <c r="C163" s="10">
        <v>0.9</v>
      </c>
      <c r="D163" s="10">
        <v>16.899999999999999</v>
      </c>
      <c r="E163" s="10">
        <v>1.8777777777777778</v>
      </c>
      <c r="F163" s="10" t="s">
        <v>57</v>
      </c>
      <c r="G163" s="10">
        <v>2.9306662440046995</v>
      </c>
      <c r="H163" s="10">
        <v>4</v>
      </c>
    </row>
    <row r="164" spans="1:8" x14ac:dyDescent="0.25">
      <c r="A164" s="10">
        <v>162</v>
      </c>
      <c r="B164" s="10">
        <v>16.5</v>
      </c>
      <c r="C164" s="10">
        <v>0.96</v>
      </c>
      <c r="D164" s="10">
        <v>16.600000000000001</v>
      </c>
      <c r="E164" s="10">
        <v>1.729166666666667</v>
      </c>
      <c r="F164" s="10" t="s">
        <v>57</v>
      </c>
      <c r="G164" s="10">
        <v>2.8883486901203725</v>
      </c>
      <c r="H164" s="10">
        <v>4</v>
      </c>
    </row>
    <row r="165" spans="1:8" x14ac:dyDescent="0.25">
      <c r="A165" s="10">
        <v>163</v>
      </c>
      <c r="B165" s="10">
        <v>16.600000000000001</v>
      </c>
      <c r="C165" s="10">
        <v>0.99</v>
      </c>
      <c r="D165" s="10">
        <v>15.4</v>
      </c>
      <c r="E165" s="10">
        <v>1.5555555555555556</v>
      </c>
      <c r="F165" s="10" t="s">
        <v>57</v>
      </c>
      <c r="G165" s="10">
        <v>2.8538087844493103</v>
      </c>
      <c r="H165" s="10">
        <v>4</v>
      </c>
    </row>
    <row r="166" spans="1:8" x14ac:dyDescent="0.25">
      <c r="A166" s="10">
        <v>164</v>
      </c>
      <c r="B166" s="10">
        <v>16.7</v>
      </c>
      <c r="C166" s="10">
        <v>0.85</v>
      </c>
      <c r="D166" s="10">
        <v>15.1</v>
      </c>
      <c r="E166" s="10">
        <v>1.7764705882352942</v>
      </c>
      <c r="F166" s="10" t="s">
        <v>57</v>
      </c>
      <c r="G166" s="10">
        <v>2.9399375313223466</v>
      </c>
      <c r="H166" s="10">
        <v>4</v>
      </c>
    </row>
    <row r="167" spans="1:8" x14ac:dyDescent="0.25">
      <c r="A167" s="10">
        <v>165</v>
      </c>
      <c r="B167" s="10">
        <v>16.8</v>
      </c>
      <c r="C167" s="10">
        <v>0.93</v>
      </c>
      <c r="D167" s="10">
        <v>17.100000000000001</v>
      </c>
      <c r="E167" s="10">
        <v>1.838709677419355</v>
      </c>
      <c r="F167" s="10" t="s">
        <v>57</v>
      </c>
      <c r="G167" s="10">
        <v>2.9137604522099481</v>
      </c>
      <c r="H167" s="10">
        <v>4</v>
      </c>
    </row>
    <row r="168" spans="1:8" x14ac:dyDescent="0.25">
      <c r="A168" s="10">
        <v>166</v>
      </c>
      <c r="B168" s="10">
        <v>16.899999999999999</v>
      </c>
      <c r="C168" s="10">
        <v>0.94</v>
      </c>
      <c r="D168" s="10">
        <v>16.899999999999999</v>
      </c>
      <c r="E168" s="10">
        <v>1.7978723404255319</v>
      </c>
      <c r="F168" s="10" t="s">
        <v>57</v>
      </c>
      <c r="G168" s="10">
        <v>2.9048001935393799</v>
      </c>
      <c r="H168" s="10">
        <v>4</v>
      </c>
    </row>
    <row r="169" spans="1:8" x14ac:dyDescent="0.25">
      <c r="A169" s="10">
        <v>167</v>
      </c>
      <c r="B169" s="10">
        <v>17</v>
      </c>
      <c r="C169" s="10">
        <v>0.94</v>
      </c>
      <c r="D169" s="10">
        <v>15.1</v>
      </c>
      <c r="E169" s="10">
        <v>1.6063829787234043</v>
      </c>
      <c r="F169" s="10" t="s">
        <v>57</v>
      </c>
      <c r="G169" s="10">
        <v>2.8802770932201733</v>
      </c>
      <c r="H169" s="10">
        <v>4</v>
      </c>
    </row>
    <row r="170" spans="1:8" x14ac:dyDescent="0.25">
      <c r="A170" s="10">
        <v>168</v>
      </c>
      <c r="B170" s="10">
        <v>17.100000000000001</v>
      </c>
      <c r="C170" s="10">
        <v>1.17</v>
      </c>
      <c r="D170" s="10">
        <v>13.5</v>
      </c>
      <c r="E170" s="10">
        <v>1.153846153846154</v>
      </c>
      <c r="F170" s="10" t="s">
        <v>57</v>
      </c>
      <c r="G170" s="10">
        <v>2.7276560578985016</v>
      </c>
      <c r="H170" s="10">
        <v>4</v>
      </c>
    </row>
    <row r="171" spans="1:8" x14ac:dyDescent="0.25">
      <c r="A171" s="10">
        <v>169</v>
      </c>
      <c r="B171" s="10">
        <v>17.2</v>
      </c>
      <c r="C171" s="10">
        <v>1.35</v>
      </c>
      <c r="D171" s="10">
        <v>36</v>
      </c>
      <c r="E171" s="10">
        <v>2.6666666666666665</v>
      </c>
      <c r="F171" s="10" t="s">
        <v>57</v>
      </c>
      <c r="G171" s="10">
        <v>2.865315646166458</v>
      </c>
      <c r="H171" s="10">
        <v>4</v>
      </c>
    </row>
    <row r="172" spans="1:8" x14ac:dyDescent="0.25">
      <c r="A172" s="10">
        <v>170</v>
      </c>
      <c r="B172" s="10">
        <v>17.3</v>
      </c>
      <c r="C172" s="10">
        <v>1.01</v>
      </c>
      <c r="D172" s="10">
        <v>23.5</v>
      </c>
      <c r="E172" s="10">
        <v>2.3267326732673266</v>
      </c>
      <c r="F172" s="10" t="s">
        <v>57</v>
      </c>
      <c r="G172" s="10">
        <v>2.9369301735419047</v>
      </c>
      <c r="H172" s="10">
        <v>4</v>
      </c>
    </row>
    <row r="173" spans="1:8" x14ac:dyDescent="0.25">
      <c r="A173" s="10">
        <v>171</v>
      </c>
      <c r="B173" s="10">
        <v>17.399999999999999</v>
      </c>
      <c r="C173" s="10">
        <v>1.93</v>
      </c>
      <c r="D173" s="10">
        <v>35.299999999999997</v>
      </c>
      <c r="E173" s="10">
        <v>1.8290155440414508</v>
      </c>
      <c r="F173" s="10" t="s">
        <v>57</v>
      </c>
      <c r="G173" s="10">
        <v>2.6445729682554262</v>
      </c>
      <c r="H173" s="10">
        <v>4</v>
      </c>
    </row>
    <row r="174" spans="1:8" x14ac:dyDescent="0.25">
      <c r="A174" s="10">
        <v>172</v>
      </c>
      <c r="B174" s="10">
        <v>17.5</v>
      </c>
      <c r="C174" s="10">
        <v>2.04</v>
      </c>
      <c r="D174" s="10">
        <v>51.8</v>
      </c>
      <c r="E174" s="10">
        <v>2.5392156862745097</v>
      </c>
      <c r="F174" s="10" t="s">
        <v>57</v>
      </c>
      <c r="G174" s="10">
        <v>2.707688913528036</v>
      </c>
      <c r="H174" s="10">
        <v>4</v>
      </c>
    </row>
    <row r="175" spans="1:8" x14ac:dyDescent="0.25">
      <c r="A175" s="10">
        <v>173</v>
      </c>
      <c r="B175" s="10">
        <v>17.600000000000001</v>
      </c>
      <c r="C175" s="10">
        <v>2.21</v>
      </c>
      <c r="D175" s="10">
        <v>58.8</v>
      </c>
      <c r="E175" s="10">
        <v>2.6606334841628958</v>
      </c>
      <c r="F175" s="10" t="s">
        <v>57</v>
      </c>
      <c r="G175" s="10">
        <v>2.6923074229082573</v>
      </c>
      <c r="H175" s="10">
        <v>4</v>
      </c>
    </row>
    <row r="176" spans="1:8" x14ac:dyDescent="0.25">
      <c r="A176" s="10">
        <v>174</v>
      </c>
      <c r="B176" s="10">
        <v>17.7</v>
      </c>
      <c r="C176" s="10">
        <v>2.19</v>
      </c>
      <c r="D176" s="10">
        <v>78.099999999999994</v>
      </c>
      <c r="E176" s="10">
        <v>3.5662100456621002</v>
      </c>
      <c r="F176" s="10" t="s">
        <v>57</v>
      </c>
      <c r="G176" s="10">
        <v>2.7749064854112677</v>
      </c>
      <c r="H176" s="10">
        <v>4</v>
      </c>
    </row>
    <row r="177" spans="1:8" x14ac:dyDescent="0.25">
      <c r="A177" s="10">
        <v>175</v>
      </c>
      <c r="B177" s="10">
        <v>17.8</v>
      </c>
      <c r="C177" s="10">
        <v>1.73</v>
      </c>
      <c r="D177" s="10">
        <v>66.2</v>
      </c>
      <c r="E177" s="10">
        <v>3.8265895953757232</v>
      </c>
      <c r="F177" s="10" t="s">
        <v>57</v>
      </c>
      <c r="G177" s="10">
        <v>2.8735518101380015</v>
      </c>
      <c r="H177" s="10">
        <v>4</v>
      </c>
    </row>
    <row r="178" spans="1:8" x14ac:dyDescent="0.25">
      <c r="A178" s="10">
        <v>176</v>
      </c>
      <c r="B178" s="10">
        <v>17.899999999999999</v>
      </c>
      <c r="C178" s="10">
        <v>1.83</v>
      </c>
      <c r="D178" s="10">
        <v>51.3</v>
      </c>
      <c r="E178" s="10">
        <v>2.8032786885245899</v>
      </c>
      <c r="F178" s="10" t="s">
        <v>57</v>
      </c>
      <c r="G178" s="10">
        <v>2.771219060259043</v>
      </c>
      <c r="H178" s="10">
        <v>4</v>
      </c>
    </row>
    <row r="179" spans="1:8" x14ac:dyDescent="0.25">
      <c r="A179" s="10">
        <v>177</v>
      </c>
      <c r="B179" s="10">
        <v>18</v>
      </c>
      <c r="C179" s="10">
        <v>2.38</v>
      </c>
      <c r="D179" s="10">
        <v>65.5</v>
      </c>
      <c r="E179" s="10">
        <v>2.7521008403361349</v>
      </c>
      <c r="F179" s="10" t="s">
        <v>57</v>
      </c>
      <c r="G179" s="10">
        <v>2.6759807592551912</v>
      </c>
      <c r="H179" s="10">
        <v>4</v>
      </c>
    </row>
    <row r="180" spans="1:8" x14ac:dyDescent="0.25">
      <c r="A180" s="10">
        <v>178</v>
      </c>
      <c r="B180" s="10">
        <v>18.100000000000001</v>
      </c>
      <c r="C180" s="10">
        <v>2.5</v>
      </c>
      <c r="D180" s="10">
        <v>89.2</v>
      </c>
      <c r="E180" s="10">
        <v>3.5680000000000001</v>
      </c>
      <c r="F180" s="10" t="s">
        <v>57</v>
      </c>
      <c r="G180" s="10">
        <v>2.7310520772635436</v>
      </c>
      <c r="H180" s="10">
        <v>4</v>
      </c>
    </row>
    <row r="181" spans="1:8" x14ac:dyDescent="0.25">
      <c r="A181" s="10">
        <v>179</v>
      </c>
      <c r="B181" s="10">
        <v>18.2</v>
      </c>
      <c r="C181" s="10">
        <v>2.95</v>
      </c>
      <c r="D181" s="10">
        <v>98.7</v>
      </c>
      <c r="E181" s="10">
        <v>3.3457627118644071</v>
      </c>
      <c r="F181" s="10" t="s">
        <v>57</v>
      </c>
      <c r="G181" s="10">
        <v>2.6583597224509732</v>
      </c>
      <c r="H181" s="10">
        <v>4</v>
      </c>
    </row>
    <row r="182" spans="1:8" x14ac:dyDescent="0.25">
      <c r="A182" s="10">
        <v>180</v>
      </c>
      <c r="B182" s="10">
        <v>18.3</v>
      </c>
      <c r="C182" s="10">
        <v>2.8</v>
      </c>
      <c r="D182" s="10">
        <v>91.2</v>
      </c>
      <c r="E182" s="10">
        <v>3.2571428571428576</v>
      </c>
      <c r="F182" s="10" t="s">
        <v>57</v>
      </c>
      <c r="G182" s="10">
        <v>2.6679155377344657</v>
      </c>
      <c r="H182" s="10">
        <v>4</v>
      </c>
    </row>
    <row r="183" spans="1:8" x14ac:dyDescent="0.25">
      <c r="A183" s="10">
        <v>181</v>
      </c>
      <c r="B183" s="10">
        <v>18.399999999999999</v>
      </c>
      <c r="C183" s="10">
        <v>2.5099999999999998</v>
      </c>
      <c r="D183" s="10">
        <v>79.8</v>
      </c>
      <c r="E183" s="10">
        <v>3.1792828685258967</v>
      </c>
      <c r="F183" s="10" t="s">
        <v>57</v>
      </c>
      <c r="G183" s="10">
        <v>2.6974750887406156</v>
      </c>
      <c r="H183" s="10">
        <v>4</v>
      </c>
    </row>
    <row r="184" spans="1:8" x14ac:dyDescent="0.25">
      <c r="A184" s="10">
        <v>182</v>
      </c>
      <c r="B184" s="10">
        <v>18.5</v>
      </c>
      <c r="C184" s="10">
        <v>2.39</v>
      </c>
      <c r="D184" s="10">
        <v>68.099999999999994</v>
      </c>
      <c r="E184" s="10">
        <v>2.8493723849372383</v>
      </c>
      <c r="F184" s="10" t="s">
        <v>57</v>
      </c>
      <c r="G184" s="10">
        <v>2.6839393989228602</v>
      </c>
      <c r="H184" s="10">
        <v>4</v>
      </c>
    </row>
    <row r="185" spans="1:8" x14ac:dyDescent="0.25">
      <c r="A185" s="10">
        <v>183</v>
      </c>
      <c r="B185" s="10">
        <v>18.600000000000001</v>
      </c>
      <c r="C185" s="10">
        <v>1.88</v>
      </c>
      <c r="D185" s="10">
        <v>59</v>
      </c>
      <c r="E185" s="10">
        <v>3.1382978723404258</v>
      </c>
      <c r="F185" s="10" t="s">
        <v>57</v>
      </c>
      <c r="G185" s="10">
        <v>2.7917556903760543</v>
      </c>
      <c r="H185" s="10">
        <v>4</v>
      </c>
    </row>
    <row r="186" spans="1:8" x14ac:dyDescent="0.25">
      <c r="A186" s="10">
        <v>184</v>
      </c>
      <c r="B186" s="10">
        <v>18.7</v>
      </c>
      <c r="C186" s="10">
        <v>2.8</v>
      </c>
      <c r="D186" s="10">
        <v>95.1</v>
      </c>
      <c r="E186" s="10">
        <v>3.3964285714285714</v>
      </c>
      <c r="F186" s="10" t="s">
        <v>57</v>
      </c>
      <c r="G186" s="10">
        <v>2.6797629861424008</v>
      </c>
      <c r="H186" s="10">
        <v>4</v>
      </c>
    </row>
    <row r="187" spans="1:8" x14ac:dyDescent="0.25">
      <c r="A187" s="10">
        <v>185</v>
      </c>
      <c r="B187" s="10">
        <v>18.8</v>
      </c>
      <c r="C187" s="10">
        <v>2.81</v>
      </c>
      <c r="D187" s="10">
        <v>102.9</v>
      </c>
      <c r="E187" s="10">
        <v>3.6619217081850537</v>
      </c>
      <c r="F187" s="10" t="s">
        <v>57</v>
      </c>
      <c r="G187" s="10">
        <v>2.7000719839137841</v>
      </c>
      <c r="H187" s="10">
        <v>4</v>
      </c>
    </row>
    <row r="188" spans="1:8" x14ac:dyDescent="0.25">
      <c r="A188" s="10">
        <v>186</v>
      </c>
      <c r="B188" s="10">
        <v>18.899999999999999</v>
      </c>
      <c r="C188" s="10">
        <v>2.97</v>
      </c>
      <c r="D188" s="10">
        <v>101.5</v>
      </c>
      <c r="E188" s="10">
        <v>3.4175084175084174</v>
      </c>
      <c r="F188" s="10" t="s">
        <v>57</v>
      </c>
      <c r="G188" s="10">
        <v>2.6622071202844868</v>
      </c>
      <c r="H188" s="10">
        <v>4</v>
      </c>
    </row>
    <row r="189" spans="1:8" x14ac:dyDescent="0.25">
      <c r="A189" s="10">
        <v>187</v>
      </c>
      <c r="B189" s="10">
        <v>19</v>
      </c>
      <c r="C189" s="10">
        <v>2.0299999999999998</v>
      </c>
      <c r="D189" s="10">
        <v>79.8</v>
      </c>
      <c r="E189" s="10">
        <v>3.9310344827586214</v>
      </c>
      <c r="F189" s="10" t="s">
        <v>57</v>
      </c>
      <c r="G189" s="10">
        <v>2.8272982829653954</v>
      </c>
      <c r="H189" s="10">
        <v>4</v>
      </c>
    </row>
    <row r="190" spans="1:8" x14ac:dyDescent="0.25">
      <c r="A190" s="10">
        <v>188</v>
      </c>
      <c r="B190" s="10">
        <v>19.100000000000001</v>
      </c>
      <c r="C190" s="10">
        <v>2.66</v>
      </c>
      <c r="D190" s="10">
        <v>75.5</v>
      </c>
      <c r="E190" s="10">
        <v>2.8383458646616542</v>
      </c>
      <c r="F190" s="10" t="s">
        <v>57</v>
      </c>
      <c r="G190" s="10">
        <v>2.6467095885539162</v>
      </c>
      <c r="H190" s="10">
        <v>4</v>
      </c>
    </row>
    <row r="191" spans="1:8" x14ac:dyDescent="0.25">
      <c r="A191" s="10">
        <v>189</v>
      </c>
      <c r="B191" s="10">
        <v>19.2</v>
      </c>
      <c r="C191" s="10">
        <v>3.03</v>
      </c>
      <c r="D191" s="10">
        <v>80.3</v>
      </c>
      <c r="E191" s="10">
        <v>2.6501650165016502</v>
      </c>
      <c r="F191" s="10" t="s">
        <v>56</v>
      </c>
      <c r="G191" s="10">
        <v>2.5840809975534218</v>
      </c>
      <c r="H191" s="10">
        <v>5</v>
      </c>
    </row>
    <row r="192" spans="1:8" x14ac:dyDescent="0.25">
      <c r="A192" s="10">
        <v>190</v>
      </c>
      <c r="B192" s="10">
        <v>19.3</v>
      </c>
      <c r="C192" s="10">
        <v>2.34</v>
      </c>
      <c r="D192" s="10">
        <v>66.8</v>
      </c>
      <c r="E192" s="10">
        <v>2.8547008547008548</v>
      </c>
      <c r="F192" s="10" t="s">
        <v>57</v>
      </c>
      <c r="G192" s="10">
        <v>2.6916256745836384</v>
      </c>
      <c r="H192" s="10">
        <v>4</v>
      </c>
    </row>
    <row r="193" spans="1:8" x14ac:dyDescent="0.25">
      <c r="A193" s="10">
        <v>191</v>
      </c>
      <c r="B193" s="10">
        <v>19.399999999999999</v>
      </c>
      <c r="C193" s="10">
        <v>2.27</v>
      </c>
      <c r="D193" s="10">
        <v>61.5</v>
      </c>
      <c r="E193" s="10">
        <v>2.7092511013215859</v>
      </c>
      <c r="F193" s="10" t="s">
        <v>57</v>
      </c>
      <c r="G193" s="10">
        <v>2.6879359310377455</v>
      </c>
      <c r="H193" s="10">
        <v>4</v>
      </c>
    </row>
    <row r="194" spans="1:8" x14ac:dyDescent="0.25">
      <c r="A194" s="10">
        <v>192</v>
      </c>
      <c r="B194" s="10">
        <v>19.5</v>
      </c>
      <c r="C194" s="10">
        <v>2.74</v>
      </c>
      <c r="D194" s="10">
        <v>81.2</v>
      </c>
      <c r="E194" s="10">
        <v>2.9635036496350367</v>
      </c>
      <c r="F194" s="10" t="s">
        <v>57</v>
      </c>
      <c r="G194" s="10">
        <v>2.6486810596042614</v>
      </c>
      <c r="H194" s="10">
        <v>4</v>
      </c>
    </row>
    <row r="195" spans="1:8" x14ac:dyDescent="0.25">
      <c r="A195" s="10">
        <v>193</v>
      </c>
      <c r="B195" s="10">
        <v>19.600000000000001</v>
      </c>
      <c r="C195" s="10">
        <v>1.97</v>
      </c>
      <c r="D195" s="10">
        <v>70</v>
      </c>
      <c r="E195" s="10">
        <v>3.5532994923857868</v>
      </c>
      <c r="F195" s="10" t="s">
        <v>57</v>
      </c>
      <c r="G195" s="10">
        <v>2.8094466123691113</v>
      </c>
      <c r="H195" s="10">
        <v>4</v>
      </c>
    </row>
    <row r="196" spans="1:8" x14ac:dyDescent="0.25">
      <c r="A196" s="10">
        <v>194</v>
      </c>
      <c r="B196" s="10">
        <v>19.7</v>
      </c>
      <c r="C196" s="10">
        <v>2.64</v>
      </c>
      <c r="D196" s="10">
        <v>95.8</v>
      </c>
      <c r="E196" s="10">
        <v>3.6287878787878785</v>
      </c>
      <c r="F196" s="10" t="s">
        <v>57</v>
      </c>
      <c r="G196" s="10">
        <v>2.7178907657259579</v>
      </c>
      <c r="H196" s="10">
        <v>4</v>
      </c>
    </row>
    <row r="197" spans="1:8" x14ac:dyDescent="0.25">
      <c r="A197" s="10">
        <v>195</v>
      </c>
      <c r="B197" s="10">
        <v>19.8</v>
      </c>
      <c r="C197" s="10">
        <v>3.11</v>
      </c>
      <c r="D197" s="10">
        <v>99.4</v>
      </c>
      <c r="E197" s="10">
        <v>3.1961414790996789</v>
      </c>
      <c r="F197" s="10" t="s">
        <v>57</v>
      </c>
      <c r="G197" s="10">
        <v>2.628012596578718</v>
      </c>
      <c r="H197" s="10">
        <v>4</v>
      </c>
    </row>
    <row r="198" spans="1:8" x14ac:dyDescent="0.25">
      <c r="A198" s="10">
        <v>196</v>
      </c>
      <c r="B198" s="10">
        <v>19.899999999999999</v>
      </c>
      <c r="C198" s="10">
        <v>3.51</v>
      </c>
      <c r="D198" s="10">
        <v>89.5</v>
      </c>
      <c r="E198" s="10">
        <v>2.5498575498575504</v>
      </c>
      <c r="F198" s="10" t="s">
        <v>56</v>
      </c>
      <c r="G198" s="10">
        <v>2.5242889803504269</v>
      </c>
      <c r="H198" s="10">
        <v>5</v>
      </c>
    </row>
    <row r="199" spans="1:8" x14ac:dyDescent="0.25">
      <c r="A199" s="10">
        <v>197</v>
      </c>
      <c r="B199" s="10">
        <v>20</v>
      </c>
      <c r="C199" s="10">
        <v>4.75</v>
      </c>
      <c r="D199" s="10">
        <v>89.6</v>
      </c>
      <c r="E199" s="10">
        <v>1.8863157894736839</v>
      </c>
      <c r="F199" s="10" t="s">
        <v>56</v>
      </c>
      <c r="G199" s="10">
        <v>2.339518368844808</v>
      </c>
      <c r="H199" s="10">
        <v>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5"/>
  <sheetViews>
    <sheetView workbookViewId="0">
      <selection activeCell="C32" sqref="C32"/>
    </sheetView>
  </sheetViews>
  <sheetFormatPr defaultColWidth="8.875" defaultRowHeight="15.75" x14ac:dyDescent="0.25"/>
  <cols>
    <col min="1" max="1" width="14.75" style="1" customWidth="1"/>
    <col min="2" max="2" width="9.25" style="1" customWidth="1"/>
    <col min="3" max="16384" width="8.875" style="1"/>
  </cols>
  <sheetData>
    <row r="1" spans="1:2" x14ac:dyDescent="0.25">
      <c r="A1" s="1" t="s">
        <v>0</v>
      </c>
      <c r="B1"/>
    </row>
    <row r="2" spans="1:2" x14ac:dyDescent="0.25">
      <c r="A2" s="1" t="s">
        <v>7</v>
      </c>
      <c r="B2" s="1" t="s">
        <v>26</v>
      </c>
    </row>
    <row r="3" spans="1:2" x14ac:dyDescent="0.25">
      <c r="A3" s="1" t="s">
        <v>5</v>
      </c>
      <c r="B3" s="1" t="s">
        <v>27</v>
      </c>
    </row>
    <row r="4" spans="1:2" x14ac:dyDescent="0.25">
      <c r="A4" s="1" t="s">
        <v>1</v>
      </c>
    </row>
    <row r="5" spans="1:2" x14ac:dyDescent="0.25">
      <c r="A5" s="1" t="s">
        <v>2</v>
      </c>
      <c r="B5" s="1" t="b">
        <v>0</v>
      </c>
    </row>
    <row r="6" spans="1:2" x14ac:dyDescent="0.25">
      <c r="A6" s="1" t="s">
        <v>3</v>
      </c>
      <c r="B6" s="1" t="b">
        <v>0</v>
      </c>
    </row>
    <row r="7" spans="1:2" x14ac:dyDescent="0.25">
      <c r="A7" s="1" t="s">
        <v>10</v>
      </c>
      <c r="B7" s="1" t="b">
        <v>0</v>
      </c>
    </row>
    <row r="11" spans="1:2" x14ac:dyDescent="0.25">
      <c r="A11" s="2" t="s">
        <v>4</v>
      </c>
    </row>
    <row r="12" spans="1:2" x14ac:dyDescent="0.25">
      <c r="A12" s="1" t="s">
        <v>8</v>
      </c>
    </row>
    <row r="13" spans="1:2" x14ac:dyDescent="0.25">
      <c r="A13" s="1" t="s">
        <v>11</v>
      </c>
    </row>
    <row r="14" spans="1:2" x14ac:dyDescent="0.25">
      <c r="A14" s="1" t="s">
        <v>6</v>
      </c>
    </row>
    <row r="15" spans="1:2" x14ac:dyDescent="0.25">
      <c r="A15" s="1" t="s">
        <v>9</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5</vt:i4>
      </vt:variant>
    </vt:vector>
  </HeadingPairs>
  <TitlesOfParts>
    <vt:vector size="5" baseType="lpstr">
      <vt:lpstr>Nq</vt:lpstr>
      <vt:lpstr>manual</vt:lpstr>
      <vt:lpstr>start</vt:lpstr>
      <vt:lpstr>summary</vt:lpstr>
      <vt:lpstr>_xlwings.conf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Merdeka Sandi Tazakka</cp:lastModifiedBy>
  <dcterms:created xsi:type="dcterms:W3CDTF">2015-01-25T11:31:25Z</dcterms:created>
  <dcterms:modified xsi:type="dcterms:W3CDTF">2023-03-06T04:50:05Z</dcterms:modified>
  <cp:category/>
  <cp:contentStatus/>
</cp:coreProperties>
</file>